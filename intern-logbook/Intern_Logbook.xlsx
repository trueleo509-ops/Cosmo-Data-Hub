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etup" sheetId="1" state="visible" r:id="rId3"/>
    <sheet name="Logbook" sheetId="2" state="visible" r:id="rId4"/>
    <sheet name="Weekly Summary" sheetId="3" state="visible" r:id="rId5"/>
  </sheets>
  <definedNames>
    <definedName function="false" hidden="true" localSheetId="1" name="_xlnm._FilterDatabase" vbProcedure="false">Logbook!$A$5:$I$505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Time Out minus Time In, in hours. Shows "Check times" if Time Out is not after Time In.</t>
        </r>
      </text>
    </comment>
    <comment ref="H5" authorId="0">
      <text>
        <r>
          <rPr>
            <sz val="10"/>
            <rFont val="Arial"/>
            <family val="2"/>
          </rPr>
          <t xml:space="preserve">Hours this intern has logged so far in the same Mon–Sun week, up to and including this date.</t>
        </r>
      </text>
    </comment>
  </commentList>
</comments>
</file>

<file path=xl/sharedStrings.xml><?xml version="1.0" encoding="utf-8"?>
<sst xmlns="http://schemas.openxmlformats.org/spreadsheetml/2006/main" count="46" uniqueCount="36">
  <si>
    <t xml:space="preserve">Intern Logbook — Setup</t>
  </si>
  <si>
    <t xml:space="preserve">Fill in the yellow cells once. Everything else updates automatically.</t>
  </si>
  <si>
    <t xml:space="preserve">Supervisor name</t>
  </si>
  <si>
    <t xml:space="preserve">Supervisor</t>
  </si>
  <si>
    <t xml:space="preserve">Weekly hour target</t>
  </si>
  <si>
    <t xml:space="preserve">Hours each intern must complete per week (Mon–Sun). Target given by the supervisor.</t>
  </si>
  <si>
    <t xml:space="preserve">First week of internship</t>
  </si>
  <si>
    <t xml:space="preserve">Any date in the first week — the Weekly Summary starts on that week's Monday.</t>
  </si>
  <si>
    <t xml:space="preserve">Intern</t>
  </si>
  <si>
    <t xml:space="preserve">Name (used in the Intern drop-down)</t>
  </si>
  <si>
    <t xml:space="preserve">Intern 1</t>
  </si>
  <si>
    <t xml:space="preserve">Intern 2</t>
  </si>
  <si>
    <t xml:space="preserve">How to use</t>
  </si>
  <si>
    <t xml:space="preserve">1. Keep one copy of this workbook, which the supervisor looks after.</t>
  </si>
  <si>
    <t xml:space="preserve">2. Logbook tab: each day, fill one row — Date, Intern (drop-down), Time In, Time Out, and type your full name as your Signature.</t>
  </si>
  <si>
    <t xml:space="preserve">3. Hours Worked, Week Of, Week-to-Date and Remaining fill in by themselves. Do not type in the grey columns.</t>
  </si>
  <si>
    <t xml:space="preserve">4. Weekly Summary tab: each intern's total per week against the target, with the status.</t>
  </si>
  <si>
    <t xml:space="preserve">Example row (how a filled-in Logbook row looks)</t>
  </si>
  <si>
    <t xml:space="preserve">Date</t>
  </si>
  <si>
    <t xml:space="preserve">Time In</t>
  </si>
  <si>
    <t xml:space="preserve">Time Out</t>
  </si>
  <si>
    <t xml:space="preserve">Signature</t>
  </si>
  <si>
    <t xml:space="preserve">Jane Doe</t>
  </si>
  <si>
    <t xml:space="preserve">→ Hours Worked</t>
  </si>
  <si>
    <t xml:space="preserve">Example only — it is not counted anywhere.</t>
  </si>
  <si>
    <t xml:space="preserve">Intern Attendance Logbook</t>
  </si>
  <si>
    <t xml:space="preserve">Yellow = fill in · Grey = calculated automatically</t>
  </si>
  <si>
    <t xml:space="preserve">Orange Signature = row not signed yet</t>
  </si>
  <si>
    <t xml:space="preserve">Hours Worked</t>
  </si>
  <si>
    <t xml:space="preserve">Week Of (Mon)</t>
  </si>
  <si>
    <t xml:space="preserve">Week-to-Date Hours</t>
  </si>
  <si>
    <t xml:space="preserve">Remaining to Target</t>
  </si>
  <si>
    <t xml:space="preserve">Weekly Hours Summary</t>
  </si>
  <si>
    <t xml:space="preserve">Week Ending (Sun)</t>
  </si>
  <si>
    <t xml:space="preserve">Total</t>
  </si>
  <si>
    <t xml:space="preserve">Bold row = current week. Rows are generated from "First week of internship" on the Setup tab.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</si>
</sst>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d&quot;, &quot;mmm\ d&quot;, &quot;yyyy"/>
    <numFmt numFmtId="166" formatCode="@"/>
    <numFmt numFmtId="167" formatCode="h:mm\ AM/PM"/>
    <numFmt numFmtId="168" formatCode="0.00"/>
    <numFmt numFmtId="169" formatCode="mmm\ d&quot;, &quot;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sz val="10"/>
      <color rgb="FF555555"/>
      <name val="Arial"/>
      <family val="0"/>
      <charset val="1"/>
    </font>
    <font>
      <i val="true"/>
      <sz val="9"/>
      <color rgb="FF777777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7D6"/>
        <bgColor rgb="FFF2F2F2"/>
      </patternFill>
    </fill>
    <fill>
      <patternFill patternType="solid">
        <fgColor rgb="FF1F3A5F"/>
        <bgColor rgb="FF333333"/>
      </patternFill>
    </fill>
    <fill>
      <patternFill patternType="solid">
        <fgColor rgb="FFF2F2F2"/>
        <bgColor rgb="FFEEF2F7"/>
      </patternFill>
    </fill>
    <fill>
      <patternFill patternType="solid">
        <fgColor rgb="FFEEF2F7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D1DC"/>
      </left>
      <right style="thin">
        <color rgb="FFC9D1DC"/>
      </right>
      <top style="thin">
        <color rgb="FFC9D1DC"/>
      </top>
      <bottom style="thin">
        <color rgb="FFC9D1DC"/>
      </bottom>
      <diagonal/>
    </border>
    <border diagonalUp="false" diagonalDown="false">
      <left/>
      <right/>
      <top style="medium">
        <color rgb="FF1F3A5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FF7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CE4D6"/>
        </patternFill>
      </fill>
    </dxf>
    <dxf>
      <font>
        <name val="Arial"/>
        <charset val="1"/>
        <family val="0"/>
        <b val="1"/>
        <color rgb="FF1A7F4B"/>
      </font>
      <fill>
        <patternFill>
          <bgColor rgb="FFD6F0E0"/>
        </patternFill>
      </fill>
    </dxf>
    <dxf>
      <fill>
        <patternFill>
          <bgColor rgb="FFFCE4D6"/>
        </patternFill>
      </fill>
    </dxf>
    <dxf>
      <font>
        <name val="Arial"/>
        <charset val="1"/>
        <family val="0"/>
        <color rgb="FFC00000"/>
      </font>
      <fill>
        <patternFill>
          <bgColor rgb="FFFCE4D6"/>
        </patternFill>
      </fill>
    </dxf>
    <dxf>
      <font>
        <name val="Arial"/>
        <charset val="1"/>
        <family val="0"/>
        <b val="1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F4B"/>
      <rgbColor rgb="FFC0C0C0"/>
      <rgbColor rgb="FF777777"/>
      <rgbColor rgb="FF9999FF"/>
      <rgbColor rgb="FF993366"/>
      <rgbColor rgb="FFFFF7D6"/>
      <rgbColor rgb="FFEEF2F7"/>
      <rgbColor rgb="FF660066"/>
      <rgbColor rgb="FFFF8080"/>
      <rgbColor rgb="FF0066CC"/>
      <rgbColor rgb="FFC9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F0E0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6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n">
        <v>20</v>
      </c>
      <c r="C5" s="2" t="s">
        <v>5</v>
      </c>
    </row>
    <row r="6" customFormat="false" ht="15" hidden="false" customHeight="false" outlineLevel="0" collapsed="false">
      <c r="A6" s="3" t="s">
        <v>6</v>
      </c>
      <c r="B6" s="5" t="n">
        <v>46286</v>
      </c>
      <c r="C6" s="2" t="s">
        <v>7</v>
      </c>
    </row>
    <row r="8" customFormat="false" ht="15" hidden="false" customHeight="false" outlineLevel="0" collapsed="false">
      <c r="A8" s="6" t="s">
        <v>8</v>
      </c>
      <c r="B8" s="6" t="s">
        <v>9</v>
      </c>
    </row>
    <row r="9" customFormat="false" ht="15" hidden="false" customHeight="false" outlineLevel="0" collapsed="false">
      <c r="A9" s="3" t="s">
        <v>10</v>
      </c>
      <c r="B9" s="4" t="s">
        <v>10</v>
      </c>
    </row>
    <row r="10" customFormat="false" ht="15" hidden="false" customHeight="false" outlineLevel="0" collapsed="false">
      <c r="A10" s="3" t="s">
        <v>11</v>
      </c>
      <c r="B10" s="4" t="s">
        <v>11</v>
      </c>
    </row>
    <row r="13" customFormat="false" ht="15" hidden="false" customHeight="false" outlineLevel="0" collapsed="false">
      <c r="A13" s="7" t="s">
        <v>12</v>
      </c>
    </row>
    <row r="14" customFormat="false" ht="15" hidden="false" customHeight="false" outlineLevel="0" collapsed="false">
      <c r="A14" s="8" t="s">
        <v>13</v>
      </c>
    </row>
    <row r="15" customFormat="false" ht="15" hidden="false" customHeight="false" outlineLevel="0" collapsed="false">
      <c r="A15" s="8" t="s">
        <v>14</v>
      </c>
    </row>
    <row r="16" customFormat="false" ht="15" hidden="false" customHeight="false" outlineLevel="0" collapsed="false">
      <c r="A16" s="8" t="s">
        <v>15</v>
      </c>
    </row>
    <row r="17" customFormat="false" ht="15" hidden="false" customHeight="false" outlineLevel="0" collapsed="false">
      <c r="A17" s="8" t="s">
        <v>16</v>
      </c>
    </row>
    <row r="20" customFormat="false" ht="15" hidden="false" customHeight="false" outlineLevel="0" collapsed="false">
      <c r="A20" s="7" t="s">
        <v>17</v>
      </c>
    </row>
    <row r="21" customFormat="false" ht="15" hidden="false" customHeight="false" outlineLevel="0" collapsed="false">
      <c r="A21" s="3" t="s">
        <v>18</v>
      </c>
      <c r="B21" s="9" t="n">
        <v>46286</v>
      </c>
    </row>
    <row r="22" customFormat="false" ht="15" hidden="false" customHeight="false" outlineLevel="0" collapsed="false">
      <c r="A22" s="3" t="s">
        <v>8</v>
      </c>
      <c r="B22" s="10" t="s">
        <v>10</v>
      </c>
    </row>
    <row r="23" customFormat="false" ht="15" hidden="false" customHeight="false" outlineLevel="0" collapsed="false">
      <c r="A23" s="3" t="s">
        <v>19</v>
      </c>
      <c r="B23" s="11" t="n">
        <v>0.375</v>
      </c>
    </row>
    <row r="24" customFormat="false" ht="15" hidden="false" customHeight="false" outlineLevel="0" collapsed="false">
      <c r="A24" s="3" t="s">
        <v>20</v>
      </c>
      <c r="B24" s="11" t="n">
        <v>0.5625</v>
      </c>
    </row>
    <row r="25" customFormat="false" ht="15" hidden="false" customHeight="false" outlineLevel="0" collapsed="false">
      <c r="A25" s="3" t="s">
        <v>21</v>
      </c>
      <c r="B25" s="10" t="s">
        <v>22</v>
      </c>
    </row>
    <row r="26" customFormat="false" ht="15" hidden="false" customHeight="false" outlineLevel="0" collapsed="false">
      <c r="A26" s="3" t="s">
        <v>23</v>
      </c>
      <c r="B26" s="12" t="n">
        <v>4.5</v>
      </c>
    </row>
    <row r="27" customFormat="false" ht="15" hidden="false" customHeight="false" outlineLevel="0" collapsed="false">
      <c r="A27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24"/>
    <col collapsed="false" customWidth="true" hidden="false" outlineLevel="0" max="9" min="8" style="0" width="19"/>
  </cols>
  <sheetData>
    <row r="1" customFormat="false" ht="19.7" hidden="false" customHeight="false" outlineLevel="0" collapsed="false">
      <c r="A1" s="1" t="s">
        <v>25</v>
      </c>
    </row>
    <row r="2" customFormat="false" ht="15" hidden="false" customHeight="false" outlineLevel="0" collapsed="false">
      <c r="A2" s="13" t="str">
        <f aca="false">"Supervisor: "&amp;Setup!$B$4&amp;"   ·   Target: "&amp;Setup!$B$5&amp;" hours per intern per week"</f>
        <v>Supervisor: Supervisor   ·   Target: 20 hours per intern per week</v>
      </c>
    </row>
    <row r="4" customFormat="false" ht="15" hidden="false" customHeight="false" outlineLevel="0" collapsed="false">
      <c r="A4" s="14" t="s">
        <v>26</v>
      </c>
      <c r="G4" s="14" t="s">
        <v>27</v>
      </c>
    </row>
    <row r="5" customFormat="false" ht="30" hidden="false" customHeight="true" outlineLevel="0" collapsed="false">
      <c r="A5" s="15" t="s">
        <v>18</v>
      </c>
      <c r="B5" s="15" t="s">
        <v>8</v>
      </c>
      <c r="C5" s="15" t="s">
        <v>19</v>
      </c>
      <c r="D5" s="15" t="s">
        <v>20</v>
      </c>
      <c r="E5" s="15" t="s">
        <v>28</v>
      </c>
      <c r="F5" s="15" t="s">
        <v>29</v>
      </c>
      <c r="G5" s="15" t="s">
        <v>21</v>
      </c>
      <c r="H5" s="15" t="s">
        <v>30</v>
      </c>
      <c r="I5" s="15" t="s">
        <v>31</v>
      </c>
    </row>
    <row r="6" customFormat="false" ht="15" hidden="false" customHeight="false" outlineLevel="0" collapsed="false">
      <c r="A6" s="16"/>
      <c r="B6" s="17"/>
      <c r="C6" s="18"/>
      <c r="D6" s="18"/>
      <c r="E6" s="19" t="str">
        <f aca="false">IF(OR(C6="",D6=""),"",IF(D6&lt;=C6,"Check times",ROUND((D6-C6)*24,2)))</f>
        <v/>
      </c>
      <c r="F6" s="20" t="str">
        <f aca="false">IF(A6="","",A6-WEEKDAY(A6,3))</f>
        <v/>
      </c>
      <c r="G6" s="21"/>
      <c r="H6" s="19" t="str">
        <f aca="false">IF(OR(B6="",NOT(ISNUMBER(E6))),"",SUMIFS($E$6:$E$505,$B$6:$B$505,B6,$F$6:$F$505,F6,$A$6:$A$505,"&lt;="&amp;A6))</f>
        <v/>
      </c>
      <c r="I6" s="19" t="str">
        <f aca="false">IF(H6="","",MAX(0,Setup!$B$5-H6))</f>
        <v/>
      </c>
    </row>
    <row r="7" customFormat="false" ht="15" hidden="false" customHeight="false" outlineLevel="0" collapsed="false">
      <c r="A7" s="16"/>
      <c r="B7" s="17"/>
      <c r="C7" s="18"/>
      <c r="D7" s="18"/>
      <c r="E7" s="19" t="str">
        <f aca="false">IF(OR(C7="",D7=""),"",IF(D7&lt;=C7,"Check times",ROUND((D7-C7)*24,2)))</f>
        <v/>
      </c>
      <c r="F7" s="20" t="str">
        <f aca="false">IF(A7="","",A7-WEEKDAY(A7,3))</f>
        <v/>
      </c>
      <c r="G7" s="21"/>
      <c r="H7" s="19" t="str">
        <f aca="false">IF(OR(B7="",NOT(ISNUMBER(E7))),"",SUMIFS($E$6:$E$505,$B$6:$B$505,B7,$F$6:$F$505,F7,$A$6:$A$505,"&lt;="&amp;A7))</f>
        <v/>
      </c>
      <c r="I7" s="19" t="str">
        <f aca="false">IF(H7="","",MAX(0,Setup!$B$5-H7))</f>
        <v/>
      </c>
    </row>
    <row r="8" customFormat="false" ht="15" hidden="false" customHeight="false" outlineLevel="0" collapsed="false">
      <c r="A8" s="16"/>
      <c r="B8" s="17"/>
      <c r="C8" s="18"/>
      <c r="D8" s="18"/>
      <c r="E8" s="19" t="str">
        <f aca="false">IF(OR(C8="",D8=""),"",IF(D8&lt;=C8,"Check times",ROUND((D8-C8)*24,2)))</f>
        <v/>
      </c>
      <c r="F8" s="20" t="str">
        <f aca="false">IF(A8="","",A8-WEEKDAY(A8,3))</f>
        <v/>
      </c>
      <c r="G8" s="21"/>
      <c r="H8" s="19" t="str">
        <f aca="false">IF(OR(B8="",NOT(ISNUMBER(E8))),"",SUMIFS($E$6:$E$505,$B$6:$B$505,B8,$F$6:$F$505,F8,$A$6:$A$505,"&lt;="&amp;A8))</f>
        <v/>
      </c>
      <c r="I8" s="19" t="str">
        <f aca="false">IF(H8="","",MAX(0,Setup!$B$5-H8))</f>
        <v/>
      </c>
    </row>
    <row r="9" customFormat="false" ht="15" hidden="false" customHeight="false" outlineLevel="0" collapsed="false">
      <c r="A9" s="16"/>
      <c r="B9" s="17"/>
      <c r="C9" s="18"/>
      <c r="D9" s="18"/>
      <c r="E9" s="19" t="str">
        <f aca="false">IF(OR(C9="",D9=""),"",IF(D9&lt;=C9,"Check times",ROUND((D9-C9)*24,2)))</f>
        <v/>
      </c>
      <c r="F9" s="20" t="str">
        <f aca="false">IF(A9="","",A9-WEEKDAY(A9,3))</f>
        <v/>
      </c>
      <c r="G9" s="21"/>
      <c r="H9" s="19" t="str">
        <f aca="false">IF(OR(B9="",NOT(ISNUMBER(E9))),"",SUMIFS($E$6:$E$505,$B$6:$B$505,B9,$F$6:$F$505,F9,$A$6:$A$505,"&lt;="&amp;A9))</f>
        <v/>
      </c>
      <c r="I9" s="19" t="str">
        <f aca="false">IF(H9="","",MAX(0,Setup!$B$5-H9))</f>
        <v/>
      </c>
    </row>
    <row r="10" customFormat="false" ht="15" hidden="false" customHeight="false" outlineLevel="0" collapsed="false">
      <c r="A10" s="16"/>
      <c r="B10" s="17"/>
      <c r="C10" s="18"/>
      <c r="D10" s="18"/>
      <c r="E10" s="19" t="str">
        <f aca="false">IF(OR(C10="",D10=""),"",IF(D10&lt;=C10,"Check times",ROUND((D10-C10)*24,2)))</f>
        <v/>
      </c>
      <c r="F10" s="20" t="str">
        <f aca="false">IF(A10="","",A10-WEEKDAY(A10,3))</f>
        <v/>
      </c>
      <c r="G10" s="21"/>
      <c r="H10" s="19" t="str">
        <f aca="false">IF(OR(B10="",NOT(ISNUMBER(E10))),"",SUMIFS($E$6:$E$505,$B$6:$B$505,B10,$F$6:$F$505,F10,$A$6:$A$505,"&lt;="&amp;A10))</f>
        <v/>
      </c>
      <c r="I10" s="19" t="str">
        <f aca="false">IF(H10="","",MAX(0,Setup!$B$5-H10))</f>
        <v/>
      </c>
    </row>
    <row r="11" customFormat="false" ht="15" hidden="false" customHeight="false" outlineLevel="0" collapsed="false">
      <c r="A11" s="16"/>
      <c r="B11" s="17"/>
      <c r="C11" s="18"/>
      <c r="D11" s="18"/>
      <c r="E11" s="19" t="str">
        <f aca="false">IF(OR(C11="",D11=""),"",IF(D11&lt;=C11,"Check times",ROUND((D11-C11)*24,2)))</f>
        <v/>
      </c>
      <c r="F11" s="20" t="str">
        <f aca="false">IF(A11="","",A11-WEEKDAY(A11,3))</f>
        <v/>
      </c>
      <c r="G11" s="21"/>
      <c r="H11" s="19" t="str">
        <f aca="false">IF(OR(B11="",NOT(ISNUMBER(E11))),"",SUMIFS($E$6:$E$505,$B$6:$B$505,B11,$F$6:$F$505,F11,$A$6:$A$505,"&lt;="&amp;A11))</f>
        <v/>
      </c>
      <c r="I11" s="19" t="str">
        <f aca="false">IF(H11="","",MAX(0,Setup!$B$5-H11))</f>
        <v/>
      </c>
    </row>
    <row r="12" customFormat="false" ht="15" hidden="false" customHeight="false" outlineLevel="0" collapsed="false">
      <c r="A12" s="16"/>
      <c r="B12" s="17"/>
      <c r="C12" s="18"/>
      <c r="D12" s="18"/>
      <c r="E12" s="19" t="str">
        <f aca="false">IF(OR(C12="",D12=""),"",IF(D12&lt;=C12,"Check times",ROUND((D12-C12)*24,2)))</f>
        <v/>
      </c>
      <c r="F12" s="20" t="str">
        <f aca="false">IF(A12="","",A12-WEEKDAY(A12,3))</f>
        <v/>
      </c>
      <c r="G12" s="21"/>
      <c r="H12" s="19" t="str">
        <f aca="false">IF(OR(B12="",NOT(ISNUMBER(E12))),"",SUMIFS($E$6:$E$505,$B$6:$B$505,B12,$F$6:$F$505,F12,$A$6:$A$505,"&lt;="&amp;A12))</f>
        <v/>
      </c>
      <c r="I12" s="19" t="str">
        <f aca="false">IF(H12="","",MAX(0,Setup!$B$5-H12))</f>
        <v/>
      </c>
    </row>
    <row r="13" customFormat="false" ht="15" hidden="false" customHeight="false" outlineLevel="0" collapsed="false">
      <c r="A13" s="16"/>
      <c r="B13" s="17"/>
      <c r="C13" s="18"/>
      <c r="D13" s="18"/>
      <c r="E13" s="19" t="str">
        <f aca="false">IF(OR(C13="",D13=""),"",IF(D13&lt;=C13,"Check times",ROUND((D13-C13)*24,2)))</f>
        <v/>
      </c>
      <c r="F13" s="20" t="str">
        <f aca="false">IF(A13="","",A13-WEEKDAY(A13,3))</f>
        <v/>
      </c>
      <c r="G13" s="21"/>
      <c r="H13" s="19" t="str">
        <f aca="false">IF(OR(B13="",NOT(ISNUMBER(E13))),"",SUMIFS($E$6:$E$505,$B$6:$B$505,B13,$F$6:$F$505,F13,$A$6:$A$505,"&lt;="&amp;A13))</f>
        <v/>
      </c>
      <c r="I13" s="19" t="str">
        <f aca="false">IF(H13="","",MAX(0,Setup!$B$5-H13))</f>
        <v/>
      </c>
    </row>
    <row r="14" customFormat="false" ht="15" hidden="false" customHeight="false" outlineLevel="0" collapsed="false">
      <c r="A14" s="16"/>
      <c r="B14" s="17"/>
      <c r="C14" s="18"/>
      <c r="D14" s="18"/>
      <c r="E14" s="19" t="str">
        <f aca="false">IF(OR(C14="",D14=""),"",IF(D14&lt;=C14,"Check times",ROUND((D14-C14)*24,2)))</f>
        <v/>
      </c>
      <c r="F14" s="20" t="str">
        <f aca="false">IF(A14="","",A14-WEEKDAY(A14,3))</f>
        <v/>
      </c>
      <c r="G14" s="21"/>
      <c r="H14" s="19" t="str">
        <f aca="false">IF(OR(B14="",NOT(ISNUMBER(E14))),"",SUMIFS($E$6:$E$505,$B$6:$B$505,B14,$F$6:$F$505,F14,$A$6:$A$505,"&lt;="&amp;A14))</f>
        <v/>
      </c>
      <c r="I14" s="19" t="str">
        <f aca="false">IF(H14="","",MAX(0,Setup!$B$5-H14))</f>
        <v/>
      </c>
    </row>
    <row r="15" customFormat="false" ht="15" hidden="false" customHeight="false" outlineLevel="0" collapsed="false">
      <c r="A15" s="16"/>
      <c r="B15" s="17"/>
      <c r="C15" s="18"/>
      <c r="D15" s="18"/>
      <c r="E15" s="19" t="str">
        <f aca="false">IF(OR(C15="",D15=""),"",IF(D15&lt;=C15,"Check times",ROUND((D15-C15)*24,2)))</f>
        <v/>
      </c>
      <c r="F15" s="20" t="str">
        <f aca="false">IF(A15="","",A15-WEEKDAY(A15,3))</f>
        <v/>
      </c>
      <c r="G15" s="21"/>
      <c r="H15" s="19" t="str">
        <f aca="false">IF(OR(B15="",NOT(ISNUMBER(E15))),"",SUMIFS($E$6:$E$505,$B$6:$B$505,B15,$F$6:$F$505,F15,$A$6:$A$505,"&lt;="&amp;A15))</f>
        <v/>
      </c>
      <c r="I15" s="19" t="str">
        <f aca="false">IF(H15="","",MAX(0,Setup!$B$5-H15))</f>
        <v/>
      </c>
    </row>
    <row r="16" customFormat="false" ht="15" hidden="false" customHeight="false" outlineLevel="0" collapsed="false">
      <c r="A16" s="16"/>
      <c r="B16" s="17"/>
      <c r="C16" s="18"/>
      <c r="D16" s="18"/>
      <c r="E16" s="19" t="str">
        <f aca="false">IF(OR(C16="",D16=""),"",IF(D16&lt;=C16,"Check times",ROUND((D16-C16)*24,2)))</f>
        <v/>
      </c>
      <c r="F16" s="20" t="str">
        <f aca="false">IF(A16="","",A16-WEEKDAY(A16,3))</f>
        <v/>
      </c>
      <c r="G16" s="21"/>
      <c r="H16" s="19" t="str">
        <f aca="false">IF(OR(B16="",NOT(ISNUMBER(E16))),"",SUMIFS($E$6:$E$505,$B$6:$B$505,B16,$F$6:$F$505,F16,$A$6:$A$505,"&lt;="&amp;A16))</f>
        <v/>
      </c>
      <c r="I16" s="19" t="str">
        <f aca="false">IF(H16="","",MAX(0,Setup!$B$5-H16))</f>
        <v/>
      </c>
    </row>
    <row r="17" customFormat="false" ht="15" hidden="false" customHeight="false" outlineLevel="0" collapsed="false">
      <c r="A17" s="16"/>
      <c r="B17" s="17"/>
      <c r="C17" s="18"/>
      <c r="D17" s="18"/>
      <c r="E17" s="19" t="str">
        <f aca="false">IF(OR(C17="",D17=""),"",IF(D17&lt;=C17,"Check times",ROUND((D17-C17)*24,2)))</f>
        <v/>
      </c>
      <c r="F17" s="20" t="str">
        <f aca="false">IF(A17="","",A17-WEEKDAY(A17,3))</f>
        <v/>
      </c>
      <c r="G17" s="21"/>
      <c r="H17" s="19" t="str">
        <f aca="false">IF(OR(B17="",NOT(ISNUMBER(E17))),"",SUMIFS($E$6:$E$505,$B$6:$B$505,B17,$F$6:$F$505,F17,$A$6:$A$505,"&lt;="&amp;A17))</f>
        <v/>
      </c>
      <c r="I17" s="19" t="str">
        <f aca="false">IF(H17="","",MAX(0,Setup!$B$5-H17))</f>
        <v/>
      </c>
    </row>
    <row r="18" customFormat="false" ht="15" hidden="false" customHeight="false" outlineLevel="0" collapsed="false">
      <c r="A18" s="16"/>
      <c r="B18" s="17"/>
      <c r="C18" s="18"/>
      <c r="D18" s="18"/>
      <c r="E18" s="19" t="str">
        <f aca="false">IF(OR(C18="",D18=""),"",IF(D18&lt;=C18,"Check times",ROUND((D18-C18)*24,2)))</f>
        <v/>
      </c>
      <c r="F18" s="20" t="str">
        <f aca="false">IF(A18="","",A18-WEEKDAY(A18,3))</f>
        <v/>
      </c>
      <c r="G18" s="21"/>
      <c r="H18" s="19" t="str">
        <f aca="false">IF(OR(B18="",NOT(ISNUMBER(E18))),"",SUMIFS($E$6:$E$505,$B$6:$B$505,B18,$F$6:$F$505,F18,$A$6:$A$505,"&lt;="&amp;A18))</f>
        <v/>
      </c>
      <c r="I18" s="19" t="str">
        <f aca="false">IF(H18="","",MAX(0,Setup!$B$5-H18))</f>
        <v/>
      </c>
    </row>
    <row r="19" customFormat="false" ht="15" hidden="false" customHeight="false" outlineLevel="0" collapsed="false">
      <c r="A19" s="16"/>
      <c r="B19" s="17"/>
      <c r="C19" s="18"/>
      <c r="D19" s="18"/>
      <c r="E19" s="19" t="str">
        <f aca="false">IF(OR(C19="",D19=""),"",IF(D19&lt;=C19,"Check times",ROUND((D19-C19)*24,2)))</f>
        <v/>
      </c>
      <c r="F19" s="20" t="str">
        <f aca="false">IF(A19="","",A19-WEEKDAY(A19,3))</f>
        <v/>
      </c>
      <c r="G19" s="21"/>
      <c r="H19" s="19" t="str">
        <f aca="false">IF(OR(B19="",NOT(ISNUMBER(E19))),"",SUMIFS($E$6:$E$505,$B$6:$B$505,B19,$F$6:$F$505,F19,$A$6:$A$505,"&lt;="&amp;A19))</f>
        <v/>
      </c>
      <c r="I19" s="19" t="str">
        <f aca="false">IF(H19="","",MAX(0,Setup!$B$5-H19))</f>
        <v/>
      </c>
    </row>
    <row r="20" customFormat="false" ht="15" hidden="false" customHeight="false" outlineLevel="0" collapsed="false">
      <c r="A20" s="16"/>
      <c r="B20" s="17"/>
      <c r="C20" s="18"/>
      <c r="D20" s="18"/>
      <c r="E20" s="19" t="str">
        <f aca="false">IF(OR(C20="",D20=""),"",IF(D20&lt;=C20,"Check times",ROUND((D20-C20)*24,2)))</f>
        <v/>
      </c>
      <c r="F20" s="20" t="str">
        <f aca="false">IF(A20="","",A20-WEEKDAY(A20,3))</f>
        <v/>
      </c>
      <c r="G20" s="21"/>
      <c r="H20" s="19" t="str">
        <f aca="false">IF(OR(B20="",NOT(ISNUMBER(E20))),"",SUMIFS($E$6:$E$505,$B$6:$B$505,B20,$F$6:$F$505,F20,$A$6:$A$505,"&lt;="&amp;A20))</f>
        <v/>
      </c>
      <c r="I20" s="19" t="str">
        <f aca="false">IF(H20="","",MAX(0,Setup!$B$5-H20))</f>
        <v/>
      </c>
    </row>
    <row r="21" customFormat="false" ht="15" hidden="false" customHeight="false" outlineLevel="0" collapsed="false">
      <c r="A21" s="16"/>
      <c r="B21" s="17"/>
      <c r="C21" s="18"/>
      <c r="D21" s="18"/>
      <c r="E21" s="19" t="str">
        <f aca="false">IF(OR(C21="",D21=""),"",IF(D21&lt;=C21,"Check times",ROUND((D21-C21)*24,2)))</f>
        <v/>
      </c>
      <c r="F21" s="20" t="str">
        <f aca="false">IF(A21="","",A21-WEEKDAY(A21,3))</f>
        <v/>
      </c>
      <c r="G21" s="21"/>
      <c r="H21" s="19" t="str">
        <f aca="false">IF(OR(B21="",NOT(ISNUMBER(E21))),"",SUMIFS($E$6:$E$505,$B$6:$B$505,B21,$F$6:$F$505,F21,$A$6:$A$505,"&lt;="&amp;A21))</f>
        <v/>
      </c>
      <c r="I21" s="19" t="str">
        <f aca="false">IF(H21="","",MAX(0,Setup!$B$5-H21))</f>
        <v/>
      </c>
    </row>
    <row r="22" customFormat="false" ht="15" hidden="false" customHeight="false" outlineLevel="0" collapsed="false">
      <c r="A22" s="16"/>
      <c r="B22" s="17"/>
      <c r="C22" s="18"/>
      <c r="D22" s="18"/>
      <c r="E22" s="19" t="str">
        <f aca="false">IF(OR(C22="",D22=""),"",IF(D22&lt;=C22,"Check times",ROUND((D22-C22)*24,2)))</f>
        <v/>
      </c>
      <c r="F22" s="20" t="str">
        <f aca="false">IF(A22="","",A22-WEEKDAY(A22,3))</f>
        <v/>
      </c>
      <c r="G22" s="21"/>
      <c r="H22" s="19" t="str">
        <f aca="false">IF(OR(B22="",NOT(ISNUMBER(E22))),"",SUMIFS($E$6:$E$505,$B$6:$B$505,B22,$F$6:$F$505,F22,$A$6:$A$505,"&lt;="&amp;A22))</f>
        <v/>
      </c>
      <c r="I22" s="19" t="str">
        <f aca="false">IF(H22="","",MAX(0,Setup!$B$5-H22))</f>
        <v/>
      </c>
    </row>
    <row r="23" customFormat="false" ht="15" hidden="false" customHeight="false" outlineLevel="0" collapsed="false">
      <c r="A23" s="16"/>
      <c r="B23" s="17"/>
      <c r="C23" s="18"/>
      <c r="D23" s="18"/>
      <c r="E23" s="19" t="str">
        <f aca="false">IF(OR(C23="",D23=""),"",IF(D23&lt;=C23,"Check times",ROUND((D23-C23)*24,2)))</f>
        <v/>
      </c>
      <c r="F23" s="20" t="str">
        <f aca="false">IF(A23="","",A23-WEEKDAY(A23,3))</f>
        <v/>
      </c>
      <c r="G23" s="21"/>
      <c r="H23" s="19" t="str">
        <f aca="false">IF(OR(B23="",NOT(ISNUMBER(E23))),"",SUMIFS($E$6:$E$505,$B$6:$B$505,B23,$F$6:$F$505,F23,$A$6:$A$505,"&lt;="&amp;A23))</f>
        <v/>
      </c>
      <c r="I23" s="19" t="str">
        <f aca="false">IF(H23="","",MAX(0,Setup!$B$5-H23))</f>
        <v/>
      </c>
    </row>
    <row r="24" customFormat="false" ht="15" hidden="false" customHeight="false" outlineLevel="0" collapsed="false">
      <c r="A24" s="16"/>
      <c r="B24" s="17"/>
      <c r="C24" s="18"/>
      <c r="D24" s="18"/>
      <c r="E24" s="19" t="str">
        <f aca="false">IF(OR(C24="",D24=""),"",IF(D24&lt;=C24,"Check times",ROUND((D24-C24)*24,2)))</f>
        <v/>
      </c>
      <c r="F24" s="20" t="str">
        <f aca="false">IF(A24="","",A24-WEEKDAY(A24,3))</f>
        <v/>
      </c>
      <c r="G24" s="21"/>
      <c r="H24" s="19" t="str">
        <f aca="false">IF(OR(B24="",NOT(ISNUMBER(E24))),"",SUMIFS($E$6:$E$505,$B$6:$B$505,B24,$F$6:$F$505,F24,$A$6:$A$505,"&lt;="&amp;A24))</f>
        <v/>
      </c>
      <c r="I24" s="19" t="str">
        <f aca="false">IF(H24="","",MAX(0,Setup!$B$5-H24))</f>
        <v/>
      </c>
    </row>
    <row r="25" customFormat="false" ht="15" hidden="false" customHeight="false" outlineLevel="0" collapsed="false">
      <c r="A25" s="16"/>
      <c r="B25" s="17"/>
      <c r="C25" s="18"/>
      <c r="D25" s="18"/>
      <c r="E25" s="19" t="str">
        <f aca="false">IF(OR(C25="",D25=""),"",IF(D25&lt;=C25,"Check times",ROUND((D25-C25)*24,2)))</f>
        <v/>
      </c>
      <c r="F25" s="20" t="str">
        <f aca="false">IF(A25="","",A25-WEEKDAY(A25,3))</f>
        <v/>
      </c>
      <c r="G25" s="21"/>
      <c r="H25" s="19" t="str">
        <f aca="false">IF(OR(B25="",NOT(ISNUMBER(E25))),"",SUMIFS($E$6:$E$505,$B$6:$B$505,B25,$F$6:$F$505,F25,$A$6:$A$505,"&lt;="&amp;A25))</f>
        <v/>
      </c>
      <c r="I25" s="19" t="str">
        <f aca="false">IF(H25="","",MAX(0,Setup!$B$5-H25))</f>
        <v/>
      </c>
    </row>
    <row r="26" customFormat="false" ht="15" hidden="false" customHeight="false" outlineLevel="0" collapsed="false">
      <c r="A26" s="16"/>
      <c r="B26" s="17"/>
      <c r="C26" s="18"/>
      <c r="D26" s="18"/>
      <c r="E26" s="19" t="str">
        <f aca="false">IF(OR(C26="",D26=""),"",IF(D26&lt;=C26,"Check times",ROUND((D26-C26)*24,2)))</f>
        <v/>
      </c>
      <c r="F26" s="20" t="str">
        <f aca="false">IF(A26="","",A26-WEEKDAY(A26,3))</f>
        <v/>
      </c>
      <c r="G26" s="21"/>
      <c r="H26" s="19" t="str">
        <f aca="false">IF(OR(B26="",NOT(ISNUMBER(E26))),"",SUMIFS($E$6:$E$505,$B$6:$B$505,B26,$F$6:$F$505,F26,$A$6:$A$505,"&lt;="&amp;A26))</f>
        <v/>
      </c>
      <c r="I26" s="19" t="str">
        <f aca="false">IF(H26="","",MAX(0,Setup!$B$5-H26))</f>
        <v/>
      </c>
    </row>
    <row r="27" customFormat="false" ht="15" hidden="false" customHeight="false" outlineLevel="0" collapsed="false">
      <c r="A27" s="16"/>
      <c r="B27" s="17"/>
      <c r="C27" s="18"/>
      <c r="D27" s="18"/>
      <c r="E27" s="19" t="str">
        <f aca="false">IF(OR(C27="",D27=""),"",IF(D27&lt;=C27,"Check times",ROUND((D27-C27)*24,2)))</f>
        <v/>
      </c>
      <c r="F27" s="20" t="str">
        <f aca="false">IF(A27="","",A27-WEEKDAY(A27,3))</f>
        <v/>
      </c>
      <c r="G27" s="21"/>
      <c r="H27" s="19" t="str">
        <f aca="false">IF(OR(B27="",NOT(ISNUMBER(E27))),"",SUMIFS($E$6:$E$505,$B$6:$B$505,B27,$F$6:$F$505,F27,$A$6:$A$505,"&lt;="&amp;A27))</f>
        <v/>
      </c>
      <c r="I27" s="19" t="str">
        <f aca="false">IF(H27="","",MAX(0,Setup!$B$5-H27))</f>
        <v/>
      </c>
    </row>
    <row r="28" customFormat="false" ht="15" hidden="false" customHeight="false" outlineLevel="0" collapsed="false">
      <c r="A28" s="16"/>
      <c r="B28" s="17"/>
      <c r="C28" s="18"/>
      <c r="D28" s="18"/>
      <c r="E28" s="19" t="str">
        <f aca="false">IF(OR(C28="",D28=""),"",IF(D28&lt;=C28,"Check times",ROUND((D28-C28)*24,2)))</f>
        <v/>
      </c>
      <c r="F28" s="20" t="str">
        <f aca="false">IF(A28="","",A28-WEEKDAY(A28,3))</f>
        <v/>
      </c>
      <c r="G28" s="21"/>
      <c r="H28" s="19" t="str">
        <f aca="false">IF(OR(B28="",NOT(ISNUMBER(E28))),"",SUMIFS($E$6:$E$505,$B$6:$B$505,B28,$F$6:$F$505,F28,$A$6:$A$505,"&lt;="&amp;A28))</f>
        <v/>
      </c>
      <c r="I28" s="19" t="str">
        <f aca="false">IF(H28="","",MAX(0,Setup!$B$5-H28))</f>
        <v/>
      </c>
    </row>
    <row r="29" customFormat="false" ht="15" hidden="false" customHeight="false" outlineLevel="0" collapsed="false">
      <c r="A29" s="16"/>
      <c r="B29" s="17"/>
      <c r="C29" s="18"/>
      <c r="D29" s="18"/>
      <c r="E29" s="19" t="str">
        <f aca="false">IF(OR(C29="",D29=""),"",IF(D29&lt;=C29,"Check times",ROUND((D29-C29)*24,2)))</f>
        <v/>
      </c>
      <c r="F29" s="20" t="str">
        <f aca="false">IF(A29="","",A29-WEEKDAY(A29,3))</f>
        <v/>
      </c>
      <c r="G29" s="21"/>
      <c r="H29" s="19" t="str">
        <f aca="false">IF(OR(B29="",NOT(ISNUMBER(E29))),"",SUMIFS($E$6:$E$505,$B$6:$B$505,B29,$F$6:$F$505,F29,$A$6:$A$505,"&lt;="&amp;A29))</f>
        <v/>
      </c>
      <c r="I29" s="19" t="str">
        <f aca="false">IF(H29="","",MAX(0,Setup!$B$5-H29))</f>
        <v/>
      </c>
    </row>
    <row r="30" customFormat="false" ht="15" hidden="false" customHeight="false" outlineLevel="0" collapsed="false">
      <c r="A30" s="16"/>
      <c r="B30" s="17"/>
      <c r="C30" s="18"/>
      <c r="D30" s="18"/>
      <c r="E30" s="19" t="str">
        <f aca="false">IF(OR(C30="",D30=""),"",IF(D30&lt;=C30,"Check times",ROUND((D30-C30)*24,2)))</f>
        <v/>
      </c>
      <c r="F30" s="20" t="str">
        <f aca="false">IF(A30="","",A30-WEEKDAY(A30,3))</f>
        <v/>
      </c>
      <c r="G30" s="21"/>
      <c r="H30" s="19" t="str">
        <f aca="false">IF(OR(B30="",NOT(ISNUMBER(E30))),"",SUMIFS($E$6:$E$505,$B$6:$B$505,B30,$F$6:$F$505,F30,$A$6:$A$505,"&lt;="&amp;A30))</f>
        <v/>
      </c>
      <c r="I30" s="19" t="str">
        <f aca="false">IF(H30="","",MAX(0,Setup!$B$5-H30))</f>
        <v/>
      </c>
    </row>
    <row r="31" customFormat="false" ht="15" hidden="false" customHeight="false" outlineLevel="0" collapsed="false">
      <c r="A31" s="16"/>
      <c r="B31" s="17"/>
      <c r="C31" s="18"/>
      <c r="D31" s="18"/>
      <c r="E31" s="19" t="str">
        <f aca="false">IF(OR(C31="",D31=""),"",IF(D31&lt;=C31,"Check times",ROUND((D31-C31)*24,2)))</f>
        <v/>
      </c>
      <c r="F31" s="20" t="str">
        <f aca="false">IF(A31="","",A31-WEEKDAY(A31,3))</f>
        <v/>
      </c>
      <c r="G31" s="21"/>
      <c r="H31" s="19" t="str">
        <f aca="false">IF(OR(B31="",NOT(ISNUMBER(E31))),"",SUMIFS($E$6:$E$505,$B$6:$B$505,B31,$F$6:$F$505,F31,$A$6:$A$505,"&lt;="&amp;A31))</f>
        <v/>
      </c>
      <c r="I31" s="19" t="str">
        <f aca="false">IF(H31="","",MAX(0,Setup!$B$5-H31))</f>
        <v/>
      </c>
    </row>
    <row r="32" customFormat="false" ht="15" hidden="false" customHeight="false" outlineLevel="0" collapsed="false">
      <c r="A32" s="16"/>
      <c r="B32" s="17"/>
      <c r="C32" s="18"/>
      <c r="D32" s="18"/>
      <c r="E32" s="19" t="str">
        <f aca="false">IF(OR(C32="",D32=""),"",IF(D32&lt;=C32,"Check times",ROUND((D32-C32)*24,2)))</f>
        <v/>
      </c>
      <c r="F32" s="20" t="str">
        <f aca="false">IF(A32="","",A32-WEEKDAY(A32,3))</f>
        <v/>
      </c>
      <c r="G32" s="21"/>
      <c r="H32" s="19" t="str">
        <f aca="false">IF(OR(B32="",NOT(ISNUMBER(E32))),"",SUMIFS($E$6:$E$505,$B$6:$B$505,B32,$F$6:$F$505,F32,$A$6:$A$505,"&lt;="&amp;A32))</f>
        <v/>
      </c>
      <c r="I32" s="19" t="str">
        <f aca="false">IF(H32="","",MAX(0,Setup!$B$5-H32))</f>
        <v/>
      </c>
    </row>
    <row r="33" customFormat="false" ht="15" hidden="false" customHeight="false" outlineLevel="0" collapsed="false">
      <c r="A33" s="16"/>
      <c r="B33" s="17"/>
      <c r="C33" s="18"/>
      <c r="D33" s="18"/>
      <c r="E33" s="19" t="str">
        <f aca="false">IF(OR(C33="",D33=""),"",IF(D33&lt;=C33,"Check times",ROUND((D33-C33)*24,2)))</f>
        <v/>
      </c>
      <c r="F33" s="20" t="str">
        <f aca="false">IF(A33="","",A33-WEEKDAY(A33,3))</f>
        <v/>
      </c>
      <c r="G33" s="21"/>
      <c r="H33" s="19" t="str">
        <f aca="false">IF(OR(B33="",NOT(ISNUMBER(E33))),"",SUMIFS($E$6:$E$505,$B$6:$B$505,B33,$F$6:$F$505,F33,$A$6:$A$505,"&lt;="&amp;A33))</f>
        <v/>
      </c>
      <c r="I33" s="19" t="str">
        <f aca="false">IF(H33="","",MAX(0,Setup!$B$5-H33))</f>
        <v/>
      </c>
    </row>
    <row r="34" customFormat="false" ht="15" hidden="false" customHeight="false" outlineLevel="0" collapsed="false">
      <c r="A34" s="16"/>
      <c r="B34" s="17"/>
      <c r="C34" s="18"/>
      <c r="D34" s="18"/>
      <c r="E34" s="19" t="str">
        <f aca="false">IF(OR(C34="",D34=""),"",IF(D34&lt;=C34,"Check times",ROUND((D34-C34)*24,2)))</f>
        <v/>
      </c>
      <c r="F34" s="20" t="str">
        <f aca="false">IF(A34="","",A34-WEEKDAY(A34,3))</f>
        <v/>
      </c>
      <c r="G34" s="21"/>
      <c r="H34" s="19" t="str">
        <f aca="false">IF(OR(B34="",NOT(ISNUMBER(E34))),"",SUMIFS($E$6:$E$505,$B$6:$B$505,B34,$F$6:$F$505,F34,$A$6:$A$505,"&lt;="&amp;A34))</f>
        <v/>
      </c>
      <c r="I34" s="19" t="str">
        <f aca="false">IF(H34="","",MAX(0,Setup!$B$5-H34))</f>
        <v/>
      </c>
    </row>
    <row r="35" customFormat="false" ht="15" hidden="false" customHeight="false" outlineLevel="0" collapsed="false">
      <c r="A35" s="16"/>
      <c r="B35" s="17"/>
      <c r="C35" s="18"/>
      <c r="D35" s="18"/>
      <c r="E35" s="19" t="str">
        <f aca="false">IF(OR(C35="",D35=""),"",IF(D35&lt;=C35,"Check times",ROUND((D35-C35)*24,2)))</f>
        <v/>
      </c>
      <c r="F35" s="20" t="str">
        <f aca="false">IF(A35="","",A35-WEEKDAY(A35,3))</f>
        <v/>
      </c>
      <c r="G35" s="21"/>
      <c r="H35" s="19" t="str">
        <f aca="false">IF(OR(B35="",NOT(ISNUMBER(E35))),"",SUMIFS($E$6:$E$505,$B$6:$B$505,B35,$F$6:$F$505,F35,$A$6:$A$505,"&lt;="&amp;A35))</f>
        <v/>
      </c>
      <c r="I35" s="19" t="str">
        <f aca="false">IF(H35="","",MAX(0,Setup!$B$5-H35))</f>
        <v/>
      </c>
    </row>
    <row r="36" customFormat="false" ht="15" hidden="false" customHeight="false" outlineLevel="0" collapsed="false">
      <c r="A36" s="16"/>
      <c r="B36" s="17"/>
      <c r="C36" s="18"/>
      <c r="D36" s="18"/>
      <c r="E36" s="19" t="str">
        <f aca="false">IF(OR(C36="",D36=""),"",IF(D36&lt;=C36,"Check times",ROUND((D36-C36)*24,2)))</f>
        <v/>
      </c>
      <c r="F36" s="20" t="str">
        <f aca="false">IF(A36="","",A36-WEEKDAY(A36,3))</f>
        <v/>
      </c>
      <c r="G36" s="21"/>
      <c r="H36" s="19" t="str">
        <f aca="false">IF(OR(B36="",NOT(ISNUMBER(E36))),"",SUMIFS($E$6:$E$505,$B$6:$B$505,B36,$F$6:$F$505,F36,$A$6:$A$505,"&lt;="&amp;A36))</f>
        <v/>
      </c>
      <c r="I36" s="19" t="str">
        <f aca="false">IF(H36="","",MAX(0,Setup!$B$5-H36))</f>
        <v/>
      </c>
    </row>
    <row r="37" customFormat="false" ht="15" hidden="false" customHeight="false" outlineLevel="0" collapsed="false">
      <c r="A37" s="16"/>
      <c r="B37" s="17"/>
      <c r="C37" s="18"/>
      <c r="D37" s="18"/>
      <c r="E37" s="19" t="str">
        <f aca="false">IF(OR(C37="",D37=""),"",IF(D37&lt;=C37,"Check times",ROUND((D37-C37)*24,2)))</f>
        <v/>
      </c>
      <c r="F37" s="20" t="str">
        <f aca="false">IF(A37="","",A37-WEEKDAY(A37,3))</f>
        <v/>
      </c>
      <c r="G37" s="21"/>
      <c r="H37" s="19" t="str">
        <f aca="false">IF(OR(B37="",NOT(ISNUMBER(E37))),"",SUMIFS($E$6:$E$505,$B$6:$B$505,B37,$F$6:$F$505,F37,$A$6:$A$505,"&lt;="&amp;A37))</f>
        <v/>
      </c>
      <c r="I37" s="19" t="str">
        <f aca="false">IF(H37="","",MAX(0,Setup!$B$5-H37))</f>
        <v/>
      </c>
    </row>
    <row r="38" customFormat="false" ht="15" hidden="false" customHeight="false" outlineLevel="0" collapsed="false">
      <c r="A38" s="16"/>
      <c r="B38" s="17"/>
      <c r="C38" s="18"/>
      <c r="D38" s="18"/>
      <c r="E38" s="19" t="str">
        <f aca="false">IF(OR(C38="",D38=""),"",IF(D38&lt;=C38,"Check times",ROUND((D38-C38)*24,2)))</f>
        <v/>
      </c>
      <c r="F38" s="20" t="str">
        <f aca="false">IF(A38="","",A38-WEEKDAY(A38,3))</f>
        <v/>
      </c>
      <c r="G38" s="21"/>
      <c r="H38" s="19" t="str">
        <f aca="false">IF(OR(B38="",NOT(ISNUMBER(E38))),"",SUMIFS($E$6:$E$505,$B$6:$B$505,B38,$F$6:$F$505,F38,$A$6:$A$505,"&lt;="&amp;A38))</f>
        <v/>
      </c>
      <c r="I38" s="19" t="str">
        <f aca="false">IF(H38="","",MAX(0,Setup!$B$5-H38))</f>
        <v/>
      </c>
    </row>
    <row r="39" customFormat="false" ht="15" hidden="false" customHeight="false" outlineLevel="0" collapsed="false">
      <c r="A39" s="16"/>
      <c r="B39" s="17"/>
      <c r="C39" s="18"/>
      <c r="D39" s="18"/>
      <c r="E39" s="19" t="str">
        <f aca="false">IF(OR(C39="",D39=""),"",IF(D39&lt;=C39,"Check times",ROUND((D39-C39)*24,2)))</f>
        <v/>
      </c>
      <c r="F39" s="20" t="str">
        <f aca="false">IF(A39="","",A39-WEEKDAY(A39,3))</f>
        <v/>
      </c>
      <c r="G39" s="21"/>
      <c r="H39" s="19" t="str">
        <f aca="false">IF(OR(B39="",NOT(ISNUMBER(E39))),"",SUMIFS($E$6:$E$505,$B$6:$B$505,B39,$F$6:$F$505,F39,$A$6:$A$505,"&lt;="&amp;A39))</f>
        <v/>
      </c>
      <c r="I39" s="19" t="str">
        <f aca="false">IF(H39="","",MAX(0,Setup!$B$5-H39))</f>
        <v/>
      </c>
    </row>
    <row r="40" customFormat="false" ht="15" hidden="false" customHeight="false" outlineLevel="0" collapsed="false">
      <c r="A40" s="16"/>
      <c r="B40" s="17"/>
      <c r="C40" s="18"/>
      <c r="D40" s="18"/>
      <c r="E40" s="19" t="str">
        <f aca="false">IF(OR(C40="",D40=""),"",IF(D40&lt;=C40,"Check times",ROUND((D40-C40)*24,2)))</f>
        <v/>
      </c>
      <c r="F40" s="20" t="str">
        <f aca="false">IF(A40="","",A40-WEEKDAY(A40,3))</f>
        <v/>
      </c>
      <c r="G40" s="21"/>
      <c r="H40" s="19" t="str">
        <f aca="false">IF(OR(B40="",NOT(ISNUMBER(E40))),"",SUMIFS($E$6:$E$505,$B$6:$B$505,B40,$F$6:$F$505,F40,$A$6:$A$505,"&lt;="&amp;A40))</f>
        <v/>
      </c>
      <c r="I40" s="19" t="str">
        <f aca="false">IF(H40="","",MAX(0,Setup!$B$5-H40))</f>
        <v/>
      </c>
    </row>
    <row r="41" customFormat="false" ht="15" hidden="false" customHeight="false" outlineLevel="0" collapsed="false">
      <c r="A41" s="16"/>
      <c r="B41" s="17"/>
      <c r="C41" s="18"/>
      <c r="D41" s="18"/>
      <c r="E41" s="19" t="str">
        <f aca="false">IF(OR(C41="",D41=""),"",IF(D41&lt;=C41,"Check times",ROUND((D41-C41)*24,2)))</f>
        <v/>
      </c>
      <c r="F41" s="20" t="str">
        <f aca="false">IF(A41="","",A41-WEEKDAY(A41,3))</f>
        <v/>
      </c>
      <c r="G41" s="21"/>
      <c r="H41" s="19" t="str">
        <f aca="false">IF(OR(B41="",NOT(ISNUMBER(E41))),"",SUMIFS($E$6:$E$505,$B$6:$B$505,B41,$F$6:$F$505,F41,$A$6:$A$505,"&lt;="&amp;A41))</f>
        <v/>
      </c>
      <c r="I41" s="19" t="str">
        <f aca="false">IF(H41="","",MAX(0,Setup!$B$5-H41))</f>
        <v/>
      </c>
    </row>
    <row r="42" customFormat="false" ht="15" hidden="false" customHeight="false" outlineLevel="0" collapsed="false">
      <c r="A42" s="16"/>
      <c r="B42" s="17"/>
      <c r="C42" s="18"/>
      <c r="D42" s="18"/>
      <c r="E42" s="19" t="str">
        <f aca="false">IF(OR(C42="",D42=""),"",IF(D42&lt;=C42,"Check times",ROUND((D42-C42)*24,2)))</f>
        <v/>
      </c>
      <c r="F42" s="20" t="str">
        <f aca="false">IF(A42="","",A42-WEEKDAY(A42,3))</f>
        <v/>
      </c>
      <c r="G42" s="21"/>
      <c r="H42" s="19" t="str">
        <f aca="false">IF(OR(B42="",NOT(ISNUMBER(E42))),"",SUMIFS($E$6:$E$505,$B$6:$B$505,B42,$F$6:$F$505,F42,$A$6:$A$505,"&lt;="&amp;A42))</f>
        <v/>
      </c>
      <c r="I42" s="19" t="str">
        <f aca="false">IF(H42="","",MAX(0,Setup!$B$5-H42))</f>
        <v/>
      </c>
    </row>
    <row r="43" customFormat="false" ht="15" hidden="false" customHeight="false" outlineLevel="0" collapsed="false">
      <c r="A43" s="16"/>
      <c r="B43" s="17"/>
      <c r="C43" s="18"/>
      <c r="D43" s="18"/>
      <c r="E43" s="19" t="str">
        <f aca="false">IF(OR(C43="",D43=""),"",IF(D43&lt;=C43,"Check times",ROUND((D43-C43)*24,2)))</f>
        <v/>
      </c>
      <c r="F43" s="20" t="str">
        <f aca="false">IF(A43="","",A43-WEEKDAY(A43,3))</f>
        <v/>
      </c>
      <c r="G43" s="21"/>
      <c r="H43" s="19" t="str">
        <f aca="false">IF(OR(B43="",NOT(ISNUMBER(E43))),"",SUMIFS($E$6:$E$505,$B$6:$B$505,B43,$F$6:$F$505,F43,$A$6:$A$505,"&lt;="&amp;A43))</f>
        <v/>
      </c>
      <c r="I43" s="19" t="str">
        <f aca="false">IF(H43="","",MAX(0,Setup!$B$5-H43))</f>
        <v/>
      </c>
    </row>
    <row r="44" customFormat="false" ht="15" hidden="false" customHeight="false" outlineLevel="0" collapsed="false">
      <c r="A44" s="16"/>
      <c r="B44" s="17"/>
      <c r="C44" s="18"/>
      <c r="D44" s="18"/>
      <c r="E44" s="19" t="str">
        <f aca="false">IF(OR(C44="",D44=""),"",IF(D44&lt;=C44,"Check times",ROUND((D44-C44)*24,2)))</f>
        <v/>
      </c>
      <c r="F44" s="20" t="str">
        <f aca="false">IF(A44="","",A44-WEEKDAY(A44,3))</f>
        <v/>
      </c>
      <c r="G44" s="21"/>
      <c r="H44" s="19" t="str">
        <f aca="false">IF(OR(B44="",NOT(ISNUMBER(E44))),"",SUMIFS($E$6:$E$505,$B$6:$B$505,B44,$F$6:$F$505,F44,$A$6:$A$505,"&lt;="&amp;A44))</f>
        <v/>
      </c>
      <c r="I44" s="19" t="str">
        <f aca="false">IF(H44="","",MAX(0,Setup!$B$5-H44))</f>
        <v/>
      </c>
    </row>
    <row r="45" customFormat="false" ht="15" hidden="false" customHeight="false" outlineLevel="0" collapsed="false">
      <c r="A45" s="16"/>
      <c r="B45" s="17"/>
      <c r="C45" s="18"/>
      <c r="D45" s="18"/>
      <c r="E45" s="19" t="str">
        <f aca="false">IF(OR(C45="",D45=""),"",IF(D45&lt;=C45,"Check times",ROUND((D45-C45)*24,2)))</f>
        <v/>
      </c>
      <c r="F45" s="20" t="str">
        <f aca="false">IF(A45="","",A45-WEEKDAY(A45,3))</f>
        <v/>
      </c>
      <c r="G45" s="21"/>
      <c r="H45" s="19" t="str">
        <f aca="false">IF(OR(B45="",NOT(ISNUMBER(E45))),"",SUMIFS($E$6:$E$505,$B$6:$B$505,B45,$F$6:$F$505,F45,$A$6:$A$505,"&lt;="&amp;A45))</f>
        <v/>
      </c>
      <c r="I45" s="19" t="str">
        <f aca="false">IF(H45="","",MAX(0,Setup!$B$5-H45))</f>
        <v/>
      </c>
    </row>
    <row r="46" customFormat="false" ht="15" hidden="false" customHeight="false" outlineLevel="0" collapsed="false">
      <c r="A46" s="16"/>
      <c r="B46" s="17"/>
      <c r="C46" s="18"/>
      <c r="D46" s="18"/>
      <c r="E46" s="19" t="str">
        <f aca="false">IF(OR(C46="",D46=""),"",IF(D46&lt;=C46,"Check times",ROUND((D46-C46)*24,2)))</f>
        <v/>
      </c>
      <c r="F46" s="20" t="str">
        <f aca="false">IF(A46="","",A46-WEEKDAY(A46,3))</f>
        <v/>
      </c>
      <c r="G46" s="21"/>
      <c r="H46" s="19" t="str">
        <f aca="false">IF(OR(B46="",NOT(ISNUMBER(E46))),"",SUMIFS($E$6:$E$505,$B$6:$B$505,B46,$F$6:$F$505,F46,$A$6:$A$505,"&lt;="&amp;A46))</f>
        <v/>
      </c>
      <c r="I46" s="19" t="str">
        <f aca="false">IF(H46="","",MAX(0,Setup!$B$5-H46))</f>
        <v/>
      </c>
    </row>
    <row r="47" customFormat="false" ht="15" hidden="false" customHeight="false" outlineLevel="0" collapsed="false">
      <c r="A47" s="16"/>
      <c r="B47" s="17"/>
      <c r="C47" s="18"/>
      <c r="D47" s="18"/>
      <c r="E47" s="19" t="str">
        <f aca="false">IF(OR(C47="",D47=""),"",IF(D47&lt;=C47,"Check times",ROUND((D47-C47)*24,2)))</f>
        <v/>
      </c>
      <c r="F47" s="20" t="str">
        <f aca="false">IF(A47="","",A47-WEEKDAY(A47,3))</f>
        <v/>
      </c>
      <c r="G47" s="21"/>
      <c r="H47" s="19" t="str">
        <f aca="false">IF(OR(B47="",NOT(ISNUMBER(E47))),"",SUMIFS($E$6:$E$505,$B$6:$B$505,B47,$F$6:$F$505,F47,$A$6:$A$505,"&lt;="&amp;A47))</f>
        <v/>
      </c>
      <c r="I47" s="19" t="str">
        <f aca="false">IF(H47="","",MAX(0,Setup!$B$5-H47))</f>
        <v/>
      </c>
    </row>
    <row r="48" customFormat="false" ht="15" hidden="false" customHeight="false" outlineLevel="0" collapsed="false">
      <c r="A48" s="16"/>
      <c r="B48" s="17"/>
      <c r="C48" s="18"/>
      <c r="D48" s="18"/>
      <c r="E48" s="19" t="str">
        <f aca="false">IF(OR(C48="",D48=""),"",IF(D48&lt;=C48,"Check times",ROUND((D48-C48)*24,2)))</f>
        <v/>
      </c>
      <c r="F48" s="20" t="str">
        <f aca="false">IF(A48="","",A48-WEEKDAY(A48,3))</f>
        <v/>
      </c>
      <c r="G48" s="21"/>
      <c r="H48" s="19" t="str">
        <f aca="false">IF(OR(B48="",NOT(ISNUMBER(E48))),"",SUMIFS($E$6:$E$505,$B$6:$B$505,B48,$F$6:$F$505,F48,$A$6:$A$505,"&lt;="&amp;A48))</f>
        <v/>
      </c>
      <c r="I48" s="19" t="str">
        <f aca="false">IF(H48="","",MAX(0,Setup!$B$5-H48))</f>
        <v/>
      </c>
    </row>
    <row r="49" customFormat="false" ht="15" hidden="false" customHeight="false" outlineLevel="0" collapsed="false">
      <c r="A49" s="16"/>
      <c r="B49" s="17"/>
      <c r="C49" s="18"/>
      <c r="D49" s="18"/>
      <c r="E49" s="19" t="str">
        <f aca="false">IF(OR(C49="",D49=""),"",IF(D49&lt;=C49,"Check times",ROUND((D49-C49)*24,2)))</f>
        <v/>
      </c>
      <c r="F49" s="20" t="str">
        <f aca="false">IF(A49="","",A49-WEEKDAY(A49,3))</f>
        <v/>
      </c>
      <c r="G49" s="21"/>
      <c r="H49" s="19" t="str">
        <f aca="false">IF(OR(B49="",NOT(ISNUMBER(E49))),"",SUMIFS($E$6:$E$505,$B$6:$B$505,B49,$F$6:$F$505,F49,$A$6:$A$505,"&lt;="&amp;A49))</f>
        <v/>
      </c>
      <c r="I49" s="19" t="str">
        <f aca="false">IF(H49="","",MAX(0,Setup!$B$5-H49))</f>
        <v/>
      </c>
    </row>
    <row r="50" customFormat="false" ht="15" hidden="false" customHeight="false" outlineLevel="0" collapsed="false">
      <c r="A50" s="16"/>
      <c r="B50" s="17"/>
      <c r="C50" s="18"/>
      <c r="D50" s="18"/>
      <c r="E50" s="19" t="str">
        <f aca="false">IF(OR(C50="",D50=""),"",IF(D50&lt;=C50,"Check times",ROUND((D50-C50)*24,2)))</f>
        <v/>
      </c>
      <c r="F50" s="20" t="str">
        <f aca="false">IF(A50="","",A50-WEEKDAY(A50,3))</f>
        <v/>
      </c>
      <c r="G50" s="21"/>
      <c r="H50" s="19" t="str">
        <f aca="false">IF(OR(B50="",NOT(ISNUMBER(E50))),"",SUMIFS($E$6:$E$505,$B$6:$B$505,B50,$F$6:$F$505,F50,$A$6:$A$505,"&lt;="&amp;A50))</f>
        <v/>
      </c>
      <c r="I50" s="19" t="str">
        <f aca="false">IF(H50="","",MAX(0,Setup!$B$5-H50))</f>
        <v/>
      </c>
    </row>
    <row r="51" customFormat="false" ht="15" hidden="false" customHeight="false" outlineLevel="0" collapsed="false">
      <c r="A51" s="16"/>
      <c r="B51" s="17"/>
      <c r="C51" s="18"/>
      <c r="D51" s="18"/>
      <c r="E51" s="19" t="str">
        <f aca="false">IF(OR(C51="",D51=""),"",IF(D51&lt;=C51,"Check times",ROUND((D51-C51)*24,2)))</f>
        <v/>
      </c>
      <c r="F51" s="20" t="str">
        <f aca="false">IF(A51="","",A51-WEEKDAY(A51,3))</f>
        <v/>
      </c>
      <c r="G51" s="21"/>
      <c r="H51" s="19" t="str">
        <f aca="false">IF(OR(B51="",NOT(ISNUMBER(E51))),"",SUMIFS($E$6:$E$505,$B$6:$B$505,B51,$F$6:$F$505,F51,$A$6:$A$505,"&lt;="&amp;A51))</f>
        <v/>
      </c>
      <c r="I51" s="19" t="str">
        <f aca="false">IF(H51="","",MAX(0,Setup!$B$5-H51))</f>
        <v/>
      </c>
    </row>
    <row r="52" customFormat="false" ht="15" hidden="false" customHeight="false" outlineLevel="0" collapsed="false">
      <c r="A52" s="16"/>
      <c r="B52" s="17"/>
      <c r="C52" s="18"/>
      <c r="D52" s="18"/>
      <c r="E52" s="19" t="str">
        <f aca="false">IF(OR(C52="",D52=""),"",IF(D52&lt;=C52,"Check times",ROUND((D52-C52)*24,2)))</f>
        <v/>
      </c>
      <c r="F52" s="20" t="str">
        <f aca="false">IF(A52="","",A52-WEEKDAY(A52,3))</f>
        <v/>
      </c>
      <c r="G52" s="21"/>
      <c r="H52" s="19" t="str">
        <f aca="false">IF(OR(B52="",NOT(ISNUMBER(E52))),"",SUMIFS($E$6:$E$505,$B$6:$B$505,B52,$F$6:$F$505,F52,$A$6:$A$505,"&lt;="&amp;A52))</f>
        <v/>
      </c>
      <c r="I52" s="19" t="str">
        <f aca="false">IF(H52="","",MAX(0,Setup!$B$5-H52))</f>
        <v/>
      </c>
    </row>
    <row r="53" customFormat="false" ht="15" hidden="false" customHeight="false" outlineLevel="0" collapsed="false">
      <c r="A53" s="16"/>
      <c r="B53" s="17"/>
      <c r="C53" s="18"/>
      <c r="D53" s="18"/>
      <c r="E53" s="19" t="str">
        <f aca="false">IF(OR(C53="",D53=""),"",IF(D53&lt;=C53,"Check times",ROUND((D53-C53)*24,2)))</f>
        <v/>
      </c>
      <c r="F53" s="20" t="str">
        <f aca="false">IF(A53="","",A53-WEEKDAY(A53,3))</f>
        <v/>
      </c>
      <c r="G53" s="21"/>
      <c r="H53" s="19" t="str">
        <f aca="false">IF(OR(B53="",NOT(ISNUMBER(E53))),"",SUMIFS($E$6:$E$505,$B$6:$B$505,B53,$F$6:$F$505,F53,$A$6:$A$505,"&lt;="&amp;A53))</f>
        <v/>
      </c>
      <c r="I53" s="19" t="str">
        <f aca="false">IF(H53="","",MAX(0,Setup!$B$5-H53))</f>
        <v/>
      </c>
    </row>
    <row r="54" customFormat="false" ht="15" hidden="false" customHeight="false" outlineLevel="0" collapsed="false">
      <c r="A54" s="16"/>
      <c r="B54" s="17"/>
      <c r="C54" s="18"/>
      <c r="D54" s="18"/>
      <c r="E54" s="19" t="str">
        <f aca="false">IF(OR(C54="",D54=""),"",IF(D54&lt;=C54,"Check times",ROUND((D54-C54)*24,2)))</f>
        <v/>
      </c>
      <c r="F54" s="20" t="str">
        <f aca="false">IF(A54="","",A54-WEEKDAY(A54,3))</f>
        <v/>
      </c>
      <c r="G54" s="21"/>
      <c r="H54" s="19" t="str">
        <f aca="false">IF(OR(B54="",NOT(ISNUMBER(E54))),"",SUMIFS($E$6:$E$505,$B$6:$B$505,B54,$F$6:$F$505,F54,$A$6:$A$505,"&lt;="&amp;A54))</f>
        <v/>
      </c>
      <c r="I54" s="19" t="str">
        <f aca="false">IF(H54="","",MAX(0,Setup!$B$5-H54))</f>
        <v/>
      </c>
    </row>
    <row r="55" customFormat="false" ht="15" hidden="false" customHeight="false" outlineLevel="0" collapsed="false">
      <c r="A55" s="16"/>
      <c r="B55" s="17"/>
      <c r="C55" s="18"/>
      <c r="D55" s="18"/>
      <c r="E55" s="19" t="str">
        <f aca="false">IF(OR(C55="",D55=""),"",IF(D55&lt;=C55,"Check times",ROUND((D55-C55)*24,2)))</f>
        <v/>
      </c>
      <c r="F55" s="20" t="str">
        <f aca="false">IF(A55="","",A55-WEEKDAY(A55,3))</f>
        <v/>
      </c>
      <c r="G55" s="21"/>
      <c r="H55" s="19" t="str">
        <f aca="false">IF(OR(B55="",NOT(ISNUMBER(E55))),"",SUMIFS($E$6:$E$505,$B$6:$B$505,B55,$F$6:$F$505,F55,$A$6:$A$505,"&lt;="&amp;A55))</f>
        <v/>
      </c>
      <c r="I55" s="19" t="str">
        <f aca="false">IF(H55="","",MAX(0,Setup!$B$5-H55))</f>
        <v/>
      </c>
    </row>
    <row r="56" customFormat="false" ht="15" hidden="false" customHeight="false" outlineLevel="0" collapsed="false">
      <c r="A56" s="16"/>
      <c r="B56" s="17"/>
      <c r="C56" s="18"/>
      <c r="D56" s="18"/>
      <c r="E56" s="19" t="str">
        <f aca="false">IF(OR(C56="",D56=""),"",IF(D56&lt;=C56,"Check times",ROUND((D56-C56)*24,2)))</f>
        <v/>
      </c>
      <c r="F56" s="20" t="str">
        <f aca="false">IF(A56="","",A56-WEEKDAY(A56,3))</f>
        <v/>
      </c>
      <c r="G56" s="21"/>
      <c r="H56" s="19" t="str">
        <f aca="false">IF(OR(B56="",NOT(ISNUMBER(E56))),"",SUMIFS($E$6:$E$505,$B$6:$B$505,B56,$F$6:$F$505,F56,$A$6:$A$505,"&lt;="&amp;A56))</f>
        <v/>
      </c>
      <c r="I56" s="19" t="str">
        <f aca="false">IF(H56="","",MAX(0,Setup!$B$5-H56))</f>
        <v/>
      </c>
    </row>
    <row r="57" customFormat="false" ht="15" hidden="false" customHeight="false" outlineLevel="0" collapsed="false">
      <c r="A57" s="16"/>
      <c r="B57" s="17"/>
      <c r="C57" s="18"/>
      <c r="D57" s="18"/>
      <c r="E57" s="19" t="str">
        <f aca="false">IF(OR(C57="",D57=""),"",IF(D57&lt;=C57,"Check times",ROUND((D57-C57)*24,2)))</f>
        <v/>
      </c>
      <c r="F57" s="20" t="str">
        <f aca="false">IF(A57="","",A57-WEEKDAY(A57,3))</f>
        <v/>
      </c>
      <c r="G57" s="21"/>
      <c r="H57" s="19" t="str">
        <f aca="false">IF(OR(B57="",NOT(ISNUMBER(E57))),"",SUMIFS($E$6:$E$505,$B$6:$B$505,B57,$F$6:$F$505,F57,$A$6:$A$505,"&lt;="&amp;A57))</f>
        <v/>
      </c>
      <c r="I57" s="19" t="str">
        <f aca="false">IF(H57="","",MAX(0,Setup!$B$5-H57))</f>
        <v/>
      </c>
    </row>
    <row r="58" customFormat="false" ht="15" hidden="false" customHeight="false" outlineLevel="0" collapsed="false">
      <c r="A58" s="16"/>
      <c r="B58" s="17"/>
      <c r="C58" s="18"/>
      <c r="D58" s="18"/>
      <c r="E58" s="19" t="str">
        <f aca="false">IF(OR(C58="",D58=""),"",IF(D58&lt;=C58,"Check times",ROUND((D58-C58)*24,2)))</f>
        <v/>
      </c>
      <c r="F58" s="20" t="str">
        <f aca="false">IF(A58="","",A58-WEEKDAY(A58,3))</f>
        <v/>
      </c>
      <c r="G58" s="21"/>
      <c r="H58" s="19" t="str">
        <f aca="false">IF(OR(B58="",NOT(ISNUMBER(E58))),"",SUMIFS($E$6:$E$505,$B$6:$B$505,B58,$F$6:$F$505,F58,$A$6:$A$505,"&lt;="&amp;A58))</f>
        <v/>
      </c>
      <c r="I58" s="19" t="str">
        <f aca="false">IF(H58="","",MAX(0,Setup!$B$5-H58))</f>
        <v/>
      </c>
    </row>
    <row r="59" customFormat="false" ht="15" hidden="false" customHeight="false" outlineLevel="0" collapsed="false">
      <c r="A59" s="16"/>
      <c r="B59" s="17"/>
      <c r="C59" s="18"/>
      <c r="D59" s="18"/>
      <c r="E59" s="19" t="str">
        <f aca="false">IF(OR(C59="",D59=""),"",IF(D59&lt;=C59,"Check times",ROUND((D59-C59)*24,2)))</f>
        <v/>
      </c>
      <c r="F59" s="20" t="str">
        <f aca="false">IF(A59="","",A59-WEEKDAY(A59,3))</f>
        <v/>
      </c>
      <c r="G59" s="21"/>
      <c r="H59" s="19" t="str">
        <f aca="false">IF(OR(B59="",NOT(ISNUMBER(E59))),"",SUMIFS($E$6:$E$505,$B$6:$B$505,B59,$F$6:$F$505,F59,$A$6:$A$505,"&lt;="&amp;A59))</f>
        <v/>
      </c>
      <c r="I59" s="19" t="str">
        <f aca="false">IF(H59="","",MAX(0,Setup!$B$5-H59))</f>
        <v/>
      </c>
    </row>
    <row r="60" customFormat="false" ht="15" hidden="false" customHeight="false" outlineLevel="0" collapsed="false">
      <c r="A60" s="16"/>
      <c r="B60" s="17"/>
      <c r="C60" s="18"/>
      <c r="D60" s="18"/>
      <c r="E60" s="19" t="str">
        <f aca="false">IF(OR(C60="",D60=""),"",IF(D60&lt;=C60,"Check times",ROUND((D60-C60)*24,2)))</f>
        <v/>
      </c>
      <c r="F60" s="20" t="str">
        <f aca="false">IF(A60="","",A60-WEEKDAY(A60,3))</f>
        <v/>
      </c>
      <c r="G60" s="21"/>
      <c r="H60" s="19" t="str">
        <f aca="false">IF(OR(B60="",NOT(ISNUMBER(E60))),"",SUMIFS($E$6:$E$505,$B$6:$B$505,B60,$F$6:$F$505,F60,$A$6:$A$505,"&lt;="&amp;A60))</f>
        <v/>
      </c>
      <c r="I60" s="19" t="str">
        <f aca="false">IF(H60="","",MAX(0,Setup!$B$5-H60))</f>
        <v/>
      </c>
    </row>
    <row r="61" customFormat="false" ht="15" hidden="false" customHeight="false" outlineLevel="0" collapsed="false">
      <c r="A61" s="16"/>
      <c r="B61" s="17"/>
      <c r="C61" s="18"/>
      <c r="D61" s="18"/>
      <c r="E61" s="19" t="str">
        <f aca="false">IF(OR(C61="",D61=""),"",IF(D61&lt;=C61,"Check times",ROUND((D61-C61)*24,2)))</f>
        <v/>
      </c>
      <c r="F61" s="20" t="str">
        <f aca="false">IF(A61="","",A61-WEEKDAY(A61,3))</f>
        <v/>
      </c>
      <c r="G61" s="21"/>
      <c r="H61" s="19" t="str">
        <f aca="false">IF(OR(B61="",NOT(ISNUMBER(E61))),"",SUMIFS($E$6:$E$505,$B$6:$B$505,B61,$F$6:$F$505,F61,$A$6:$A$505,"&lt;="&amp;A61))</f>
        <v/>
      </c>
      <c r="I61" s="19" t="str">
        <f aca="false">IF(H61="","",MAX(0,Setup!$B$5-H61))</f>
        <v/>
      </c>
    </row>
    <row r="62" customFormat="false" ht="15" hidden="false" customHeight="false" outlineLevel="0" collapsed="false">
      <c r="A62" s="16"/>
      <c r="B62" s="17"/>
      <c r="C62" s="18"/>
      <c r="D62" s="18"/>
      <c r="E62" s="19" t="str">
        <f aca="false">IF(OR(C62="",D62=""),"",IF(D62&lt;=C62,"Check times",ROUND((D62-C62)*24,2)))</f>
        <v/>
      </c>
      <c r="F62" s="20" t="str">
        <f aca="false">IF(A62="","",A62-WEEKDAY(A62,3))</f>
        <v/>
      </c>
      <c r="G62" s="21"/>
      <c r="H62" s="19" t="str">
        <f aca="false">IF(OR(B62="",NOT(ISNUMBER(E62))),"",SUMIFS($E$6:$E$505,$B$6:$B$505,B62,$F$6:$F$505,F62,$A$6:$A$505,"&lt;="&amp;A62))</f>
        <v/>
      </c>
      <c r="I62" s="19" t="str">
        <f aca="false">IF(H62="","",MAX(0,Setup!$B$5-H62))</f>
        <v/>
      </c>
    </row>
    <row r="63" customFormat="false" ht="15" hidden="false" customHeight="false" outlineLevel="0" collapsed="false">
      <c r="A63" s="16"/>
      <c r="B63" s="17"/>
      <c r="C63" s="18"/>
      <c r="D63" s="18"/>
      <c r="E63" s="19" t="str">
        <f aca="false">IF(OR(C63="",D63=""),"",IF(D63&lt;=C63,"Check times",ROUND((D63-C63)*24,2)))</f>
        <v/>
      </c>
      <c r="F63" s="20" t="str">
        <f aca="false">IF(A63="","",A63-WEEKDAY(A63,3))</f>
        <v/>
      </c>
      <c r="G63" s="21"/>
      <c r="H63" s="19" t="str">
        <f aca="false">IF(OR(B63="",NOT(ISNUMBER(E63))),"",SUMIFS($E$6:$E$505,$B$6:$B$505,B63,$F$6:$F$505,F63,$A$6:$A$505,"&lt;="&amp;A63))</f>
        <v/>
      </c>
      <c r="I63" s="19" t="str">
        <f aca="false">IF(H63="","",MAX(0,Setup!$B$5-H63))</f>
        <v/>
      </c>
    </row>
    <row r="64" customFormat="false" ht="15" hidden="false" customHeight="false" outlineLevel="0" collapsed="false">
      <c r="A64" s="16"/>
      <c r="B64" s="17"/>
      <c r="C64" s="18"/>
      <c r="D64" s="18"/>
      <c r="E64" s="19" t="str">
        <f aca="false">IF(OR(C64="",D64=""),"",IF(D64&lt;=C64,"Check times",ROUND((D64-C64)*24,2)))</f>
        <v/>
      </c>
      <c r="F64" s="20" t="str">
        <f aca="false">IF(A64="","",A64-WEEKDAY(A64,3))</f>
        <v/>
      </c>
      <c r="G64" s="21"/>
      <c r="H64" s="19" t="str">
        <f aca="false">IF(OR(B64="",NOT(ISNUMBER(E64))),"",SUMIFS($E$6:$E$505,$B$6:$B$505,B64,$F$6:$F$505,F64,$A$6:$A$505,"&lt;="&amp;A64))</f>
        <v/>
      </c>
      <c r="I64" s="19" t="str">
        <f aca="false">IF(H64="","",MAX(0,Setup!$B$5-H64))</f>
        <v/>
      </c>
    </row>
    <row r="65" customFormat="false" ht="15" hidden="false" customHeight="false" outlineLevel="0" collapsed="false">
      <c r="A65" s="16"/>
      <c r="B65" s="17"/>
      <c r="C65" s="18"/>
      <c r="D65" s="18"/>
      <c r="E65" s="19" t="str">
        <f aca="false">IF(OR(C65="",D65=""),"",IF(D65&lt;=C65,"Check times",ROUND((D65-C65)*24,2)))</f>
        <v/>
      </c>
      <c r="F65" s="20" t="str">
        <f aca="false">IF(A65="","",A65-WEEKDAY(A65,3))</f>
        <v/>
      </c>
      <c r="G65" s="21"/>
      <c r="H65" s="19" t="str">
        <f aca="false">IF(OR(B65="",NOT(ISNUMBER(E65))),"",SUMIFS($E$6:$E$505,$B$6:$B$505,B65,$F$6:$F$505,F65,$A$6:$A$505,"&lt;="&amp;A65))</f>
        <v/>
      </c>
      <c r="I65" s="19" t="str">
        <f aca="false">IF(H65="","",MAX(0,Setup!$B$5-H65))</f>
        <v/>
      </c>
    </row>
    <row r="66" customFormat="false" ht="15" hidden="false" customHeight="false" outlineLevel="0" collapsed="false">
      <c r="A66" s="16"/>
      <c r="B66" s="17"/>
      <c r="C66" s="18"/>
      <c r="D66" s="18"/>
      <c r="E66" s="19" t="str">
        <f aca="false">IF(OR(C66="",D66=""),"",IF(D66&lt;=C66,"Check times",ROUND((D66-C66)*24,2)))</f>
        <v/>
      </c>
      <c r="F66" s="20" t="str">
        <f aca="false">IF(A66="","",A66-WEEKDAY(A66,3))</f>
        <v/>
      </c>
      <c r="G66" s="21"/>
      <c r="H66" s="19" t="str">
        <f aca="false">IF(OR(B66="",NOT(ISNUMBER(E66))),"",SUMIFS($E$6:$E$505,$B$6:$B$505,B66,$F$6:$F$505,F66,$A$6:$A$505,"&lt;="&amp;A66))</f>
        <v/>
      </c>
      <c r="I66" s="19" t="str">
        <f aca="false">IF(H66="","",MAX(0,Setup!$B$5-H66))</f>
        <v/>
      </c>
    </row>
    <row r="67" customFormat="false" ht="15" hidden="false" customHeight="false" outlineLevel="0" collapsed="false">
      <c r="A67" s="16"/>
      <c r="B67" s="17"/>
      <c r="C67" s="18"/>
      <c r="D67" s="18"/>
      <c r="E67" s="19" t="str">
        <f aca="false">IF(OR(C67="",D67=""),"",IF(D67&lt;=C67,"Check times",ROUND((D67-C67)*24,2)))</f>
        <v/>
      </c>
      <c r="F67" s="20" t="str">
        <f aca="false">IF(A67="","",A67-WEEKDAY(A67,3))</f>
        <v/>
      </c>
      <c r="G67" s="21"/>
      <c r="H67" s="19" t="str">
        <f aca="false">IF(OR(B67="",NOT(ISNUMBER(E67))),"",SUMIFS($E$6:$E$505,$B$6:$B$505,B67,$F$6:$F$505,F67,$A$6:$A$505,"&lt;="&amp;A67))</f>
        <v/>
      </c>
      <c r="I67" s="19" t="str">
        <f aca="false">IF(H67="","",MAX(0,Setup!$B$5-H67))</f>
        <v/>
      </c>
    </row>
    <row r="68" customFormat="false" ht="15" hidden="false" customHeight="false" outlineLevel="0" collapsed="false">
      <c r="A68" s="16"/>
      <c r="B68" s="17"/>
      <c r="C68" s="18"/>
      <c r="D68" s="18"/>
      <c r="E68" s="19" t="str">
        <f aca="false">IF(OR(C68="",D68=""),"",IF(D68&lt;=C68,"Check times",ROUND((D68-C68)*24,2)))</f>
        <v/>
      </c>
      <c r="F68" s="20" t="str">
        <f aca="false">IF(A68="","",A68-WEEKDAY(A68,3))</f>
        <v/>
      </c>
      <c r="G68" s="21"/>
      <c r="H68" s="19" t="str">
        <f aca="false">IF(OR(B68="",NOT(ISNUMBER(E68))),"",SUMIFS($E$6:$E$505,$B$6:$B$505,B68,$F$6:$F$505,F68,$A$6:$A$505,"&lt;="&amp;A68))</f>
        <v/>
      </c>
      <c r="I68" s="19" t="str">
        <f aca="false">IF(H68="","",MAX(0,Setup!$B$5-H68))</f>
        <v/>
      </c>
    </row>
    <row r="69" customFormat="false" ht="15" hidden="false" customHeight="false" outlineLevel="0" collapsed="false">
      <c r="A69" s="16"/>
      <c r="B69" s="17"/>
      <c r="C69" s="18"/>
      <c r="D69" s="18"/>
      <c r="E69" s="19" t="str">
        <f aca="false">IF(OR(C69="",D69=""),"",IF(D69&lt;=C69,"Check times",ROUND((D69-C69)*24,2)))</f>
        <v/>
      </c>
      <c r="F69" s="20" t="str">
        <f aca="false">IF(A69="","",A69-WEEKDAY(A69,3))</f>
        <v/>
      </c>
      <c r="G69" s="21"/>
      <c r="H69" s="19" t="str">
        <f aca="false">IF(OR(B69="",NOT(ISNUMBER(E69))),"",SUMIFS($E$6:$E$505,$B$6:$B$505,B69,$F$6:$F$505,F69,$A$6:$A$505,"&lt;="&amp;A69))</f>
        <v/>
      </c>
      <c r="I69" s="19" t="str">
        <f aca="false">IF(H69="","",MAX(0,Setup!$B$5-H69))</f>
        <v/>
      </c>
    </row>
    <row r="70" customFormat="false" ht="15" hidden="false" customHeight="false" outlineLevel="0" collapsed="false">
      <c r="A70" s="16"/>
      <c r="B70" s="17"/>
      <c r="C70" s="18"/>
      <c r="D70" s="18"/>
      <c r="E70" s="19" t="str">
        <f aca="false">IF(OR(C70="",D70=""),"",IF(D70&lt;=C70,"Check times",ROUND((D70-C70)*24,2)))</f>
        <v/>
      </c>
      <c r="F70" s="20" t="str">
        <f aca="false">IF(A70="","",A70-WEEKDAY(A70,3))</f>
        <v/>
      </c>
      <c r="G70" s="21"/>
      <c r="H70" s="19" t="str">
        <f aca="false">IF(OR(B70="",NOT(ISNUMBER(E70))),"",SUMIFS($E$6:$E$505,$B$6:$B$505,B70,$F$6:$F$505,F70,$A$6:$A$505,"&lt;="&amp;A70))</f>
        <v/>
      </c>
      <c r="I70" s="19" t="str">
        <f aca="false">IF(H70="","",MAX(0,Setup!$B$5-H70))</f>
        <v/>
      </c>
    </row>
    <row r="71" customFormat="false" ht="15" hidden="false" customHeight="false" outlineLevel="0" collapsed="false">
      <c r="A71" s="16"/>
      <c r="B71" s="17"/>
      <c r="C71" s="18"/>
      <c r="D71" s="18"/>
      <c r="E71" s="19" t="str">
        <f aca="false">IF(OR(C71="",D71=""),"",IF(D71&lt;=C71,"Check times",ROUND((D71-C71)*24,2)))</f>
        <v/>
      </c>
      <c r="F71" s="20" t="str">
        <f aca="false">IF(A71="","",A71-WEEKDAY(A71,3))</f>
        <v/>
      </c>
      <c r="G71" s="21"/>
      <c r="H71" s="19" t="str">
        <f aca="false">IF(OR(B71="",NOT(ISNUMBER(E71))),"",SUMIFS($E$6:$E$505,$B$6:$B$505,B71,$F$6:$F$505,F71,$A$6:$A$505,"&lt;="&amp;A71))</f>
        <v/>
      </c>
      <c r="I71" s="19" t="str">
        <f aca="false">IF(H71="","",MAX(0,Setup!$B$5-H71))</f>
        <v/>
      </c>
    </row>
    <row r="72" customFormat="false" ht="15" hidden="false" customHeight="false" outlineLevel="0" collapsed="false">
      <c r="A72" s="16"/>
      <c r="B72" s="17"/>
      <c r="C72" s="18"/>
      <c r="D72" s="18"/>
      <c r="E72" s="19" t="str">
        <f aca="false">IF(OR(C72="",D72=""),"",IF(D72&lt;=C72,"Check times",ROUND((D72-C72)*24,2)))</f>
        <v/>
      </c>
      <c r="F72" s="20" t="str">
        <f aca="false">IF(A72="","",A72-WEEKDAY(A72,3))</f>
        <v/>
      </c>
      <c r="G72" s="21"/>
      <c r="H72" s="19" t="str">
        <f aca="false">IF(OR(B72="",NOT(ISNUMBER(E72))),"",SUMIFS($E$6:$E$505,$B$6:$B$505,B72,$F$6:$F$505,F72,$A$6:$A$505,"&lt;="&amp;A72))</f>
        <v/>
      </c>
      <c r="I72" s="19" t="str">
        <f aca="false">IF(H72="","",MAX(0,Setup!$B$5-H72))</f>
        <v/>
      </c>
    </row>
    <row r="73" customFormat="false" ht="15" hidden="false" customHeight="false" outlineLevel="0" collapsed="false">
      <c r="A73" s="16"/>
      <c r="B73" s="17"/>
      <c r="C73" s="18"/>
      <c r="D73" s="18"/>
      <c r="E73" s="19" t="str">
        <f aca="false">IF(OR(C73="",D73=""),"",IF(D73&lt;=C73,"Check times",ROUND((D73-C73)*24,2)))</f>
        <v/>
      </c>
      <c r="F73" s="20" t="str">
        <f aca="false">IF(A73="","",A73-WEEKDAY(A73,3))</f>
        <v/>
      </c>
      <c r="G73" s="21"/>
      <c r="H73" s="19" t="str">
        <f aca="false">IF(OR(B73="",NOT(ISNUMBER(E73))),"",SUMIFS($E$6:$E$505,$B$6:$B$505,B73,$F$6:$F$505,F73,$A$6:$A$505,"&lt;="&amp;A73))</f>
        <v/>
      </c>
      <c r="I73" s="19" t="str">
        <f aca="false">IF(H73="","",MAX(0,Setup!$B$5-H73))</f>
        <v/>
      </c>
    </row>
    <row r="74" customFormat="false" ht="15" hidden="false" customHeight="false" outlineLevel="0" collapsed="false">
      <c r="A74" s="16"/>
      <c r="B74" s="17"/>
      <c r="C74" s="18"/>
      <c r="D74" s="18"/>
      <c r="E74" s="19" t="str">
        <f aca="false">IF(OR(C74="",D74=""),"",IF(D74&lt;=C74,"Check times",ROUND((D74-C74)*24,2)))</f>
        <v/>
      </c>
      <c r="F74" s="20" t="str">
        <f aca="false">IF(A74="","",A74-WEEKDAY(A74,3))</f>
        <v/>
      </c>
      <c r="G74" s="21"/>
      <c r="H74" s="19" t="str">
        <f aca="false">IF(OR(B74="",NOT(ISNUMBER(E74))),"",SUMIFS($E$6:$E$505,$B$6:$B$505,B74,$F$6:$F$505,F74,$A$6:$A$505,"&lt;="&amp;A74))</f>
        <v/>
      </c>
      <c r="I74" s="19" t="str">
        <f aca="false">IF(H74="","",MAX(0,Setup!$B$5-H74))</f>
        <v/>
      </c>
    </row>
    <row r="75" customFormat="false" ht="15" hidden="false" customHeight="false" outlineLevel="0" collapsed="false">
      <c r="A75" s="16"/>
      <c r="B75" s="17"/>
      <c r="C75" s="18"/>
      <c r="D75" s="18"/>
      <c r="E75" s="19" t="str">
        <f aca="false">IF(OR(C75="",D75=""),"",IF(D75&lt;=C75,"Check times",ROUND((D75-C75)*24,2)))</f>
        <v/>
      </c>
      <c r="F75" s="20" t="str">
        <f aca="false">IF(A75="","",A75-WEEKDAY(A75,3))</f>
        <v/>
      </c>
      <c r="G75" s="21"/>
      <c r="H75" s="19" t="str">
        <f aca="false">IF(OR(B75="",NOT(ISNUMBER(E75))),"",SUMIFS($E$6:$E$505,$B$6:$B$505,B75,$F$6:$F$505,F75,$A$6:$A$505,"&lt;="&amp;A75))</f>
        <v/>
      </c>
      <c r="I75" s="19" t="str">
        <f aca="false">IF(H75="","",MAX(0,Setup!$B$5-H75))</f>
        <v/>
      </c>
    </row>
    <row r="76" customFormat="false" ht="15" hidden="false" customHeight="false" outlineLevel="0" collapsed="false">
      <c r="A76" s="16"/>
      <c r="B76" s="17"/>
      <c r="C76" s="18"/>
      <c r="D76" s="18"/>
      <c r="E76" s="19" t="str">
        <f aca="false">IF(OR(C76="",D76=""),"",IF(D76&lt;=C76,"Check times",ROUND((D76-C76)*24,2)))</f>
        <v/>
      </c>
      <c r="F76" s="20" t="str">
        <f aca="false">IF(A76="","",A76-WEEKDAY(A76,3))</f>
        <v/>
      </c>
      <c r="G76" s="21"/>
      <c r="H76" s="19" t="str">
        <f aca="false">IF(OR(B76="",NOT(ISNUMBER(E76))),"",SUMIFS($E$6:$E$505,$B$6:$B$505,B76,$F$6:$F$505,F76,$A$6:$A$505,"&lt;="&amp;A76))</f>
        <v/>
      </c>
      <c r="I76" s="19" t="str">
        <f aca="false">IF(H76="","",MAX(0,Setup!$B$5-H76))</f>
        <v/>
      </c>
    </row>
    <row r="77" customFormat="false" ht="15" hidden="false" customHeight="false" outlineLevel="0" collapsed="false">
      <c r="A77" s="16"/>
      <c r="B77" s="17"/>
      <c r="C77" s="18"/>
      <c r="D77" s="18"/>
      <c r="E77" s="19" t="str">
        <f aca="false">IF(OR(C77="",D77=""),"",IF(D77&lt;=C77,"Check times",ROUND((D77-C77)*24,2)))</f>
        <v/>
      </c>
      <c r="F77" s="20" t="str">
        <f aca="false">IF(A77="","",A77-WEEKDAY(A77,3))</f>
        <v/>
      </c>
      <c r="G77" s="21"/>
      <c r="H77" s="19" t="str">
        <f aca="false">IF(OR(B77="",NOT(ISNUMBER(E77))),"",SUMIFS($E$6:$E$505,$B$6:$B$505,B77,$F$6:$F$505,F77,$A$6:$A$505,"&lt;="&amp;A77))</f>
        <v/>
      </c>
      <c r="I77" s="19" t="str">
        <f aca="false">IF(H77="","",MAX(0,Setup!$B$5-H77))</f>
        <v/>
      </c>
    </row>
    <row r="78" customFormat="false" ht="15" hidden="false" customHeight="false" outlineLevel="0" collapsed="false">
      <c r="A78" s="16"/>
      <c r="B78" s="17"/>
      <c r="C78" s="18"/>
      <c r="D78" s="18"/>
      <c r="E78" s="19" t="str">
        <f aca="false">IF(OR(C78="",D78=""),"",IF(D78&lt;=C78,"Check times",ROUND((D78-C78)*24,2)))</f>
        <v/>
      </c>
      <c r="F78" s="20" t="str">
        <f aca="false">IF(A78="","",A78-WEEKDAY(A78,3))</f>
        <v/>
      </c>
      <c r="G78" s="21"/>
      <c r="H78" s="19" t="str">
        <f aca="false">IF(OR(B78="",NOT(ISNUMBER(E78))),"",SUMIFS($E$6:$E$505,$B$6:$B$505,B78,$F$6:$F$505,F78,$A$6:$A$505,"&lt;="&amp;A78))</f>
        <v/>
      </c>
      <c r="I78" s="19" t="str">
        <f aca="false">IF(H78="","",MAX(0,Setup!$B$5-H78))</f>
        <v/>
      </c>
    </row>
    <row r="79" customFormat="false" ht="15" hidden="false" customHeight="false" outlineLevel="0" collapsed="false">
      <c r="A79" s="16"/>
      <c r="B79" s="17"/>
      <c r="C79" s="18"/>
      <c r="D79" s="18"/>
      <c r="E79" s="19" t="str">
        <f aca="false">IF(OR(C79="",D79=""),"",IF(D79&lt;=C79,"Check times",ROUND((D79-C79)*24,2)))</f>
        <v/>
      </c>
      <c r="F79" s="20" t="str">
        <f aca="false">IF(A79="","",A79-WEEKDAY(A79,3))</f>
        <v/>
      </c>
      <c r="G79" s="21"/>
      <c r="H79" s="19" t="str">
        <f aca="false">IF(OR(B79="",NOT(ISNUMBER(E79))),"",SUMIFS($E$6:$E$505,$B$6:$B$505,B79,$F$6:$F$505,F79,$A$6:$A$505,"&lt;="&amp;A79))</f>
        <v/>
      </c>
      <c r="I79" s="19" t="str">
        <f aca="false">IF(H79="","",MAX(0,Setup!$B$5-H79))</f>
        <v/>
      </c>
    </row>
    <row r="80" customFormat="false" ht="15" hidden="false" customHeight="false" outlineLevel="0" collapsed="false">
      <c r="A80" s="16"/>
      <c r="B80" s="17"/>
      <c r="C80" s="18"/>
      <c r="D80" s="18"/>
      <c r="E80" s="19" t="str">
        <f aca="false">IF(OR(C80="",D80=""),"",IF(D80&lt;=C80,"Check times",ROUND((D80-C80)*24,2)))</f>
        <v/>
      </c>
      <c r="F80" s="20" t="str">
        <f aca="false">IF(A80="","",A80-WEEKDAY(A80,3))</f>
        <v/>
      </c>
      <c r="G80" s="21"/>
      <c r="H80" s="19" t="str">
        <f aca="false">IF(OR(B80="",NOT(ISNUMBER(E80))),"",SUMIFS($E$6:$E$505,$B$6:$B$505,B80,$F$6:$F$505,F80,$A$6:$A$505,"&lt;="&amp;A80))</f>
        <v/>
      </c>
      <c r="I80" s="19" t="str">
        <f aca="false">IF(H80="","",MAX(0,Setup!$B$5-H80))</f>
        <v/>
      </c>
    </row>
    <row r="81" customFormat="false" ht="15" hidden="false" customHeight="false" outlineLevel="0" collapsed="false">
      <c r="A81" s="16"/>
      <c r="B81" s="17"/>
      <c r="C81" s="18"/>
      <c r="D81" s="18"/>
      <c r="E81" s="19" t="str">
        <f aca="false">IF(OR(C81="",D81=""),"",IF(D81&lt;=C81,"Check times",ROUND((D81-C81)*24,2)))</f>
        <v/>
      </c>
      <c r="F81" s="20" t="str">
        <f aca="false">IF(A81="","",A81-WEEKDAY(A81,3))</f>
        <v/>
      </c>
      <c r="G81" s="21"/>
      <c r="H81" s="19" t="str">
        <f aca="false">IF(OR(B81="",NOT(ISNUMBER(E81))),"",SUMIFS($E$6:$E$505,$B$6:$B$505,B81,$F$6:$F$505,F81,$A$6:$A$505,"&lt;="&amp;A81))</f>
        <v/>
      </c>
      <c r="I81" s="19" t="str">
        <f aca="false">IF(H81="","",MAX(0,Setup!$B$5-H81))</f>
        <v/>
      </c>
    </row>
    <row r="82" customFormat="false" ht="15" hidden="false" customHeight="false" outlineLevel="0" collapsed="false">
      <c r="A82" s="16"/>
      <c r="B82" s="17"/>
      <c r="C82" s="18"/>
      <c r="D82" s="18"/>
      <c r="E82" s="19" t="str">
        <f aca="false">IF(OR(C82="",D82=""),"",IF(D82&lt;=C82,"Check times",ROUND((D82-C82)*24,2)))</f>
        <v/>
      </c>
      <c r="F82" s="20" t="str">
        <f aca="false">IF(A82="","",A82-WEEKDAY(A82,3))</f>
        <v/>
      </c>
      <c r="G82" s="21"/>
      <c r="H82" s="19" t="str">
        <f aca="false">IF(OR(B82="",NOT(ISNUMBER(E82))),"",SUMIFS($E$6:$E$505,$B$6:$B$505,B82,$F$6:$F$505,F82,$A$6:$A$505,"&lt;="&amp;A82))</f>
        <v/>
      </c>
      <c r="I82" s="19" t="str">
        <f aca="false">IF(H82="","",MAX(0,Setup!$B$5-H82))</f>
        <v/>
      </c>
    </row>
    <row r="83" customFormat="false" ht="15" hidden="false" customHeight="false" outlineLevel="0" collapsed="false">
      <c r="A83" s="16"/>
      <c r="B83" s="17"/>
      <c r="C83" s="18"/>
      <c r="D83" s="18"/>
      <c r="E83" s="19" t="str">
        <f aca="false">IF(OR(C83="",D83=""),"",IF(D83&lt;=C83,"Check times",ROUND((D83-C83)*24,2)))</f>
        <v/>
      </c>
      <c r="F83" s="20" t="str">
        <f aca="false">IF(A83="","",A83-WEEKDAY(A83,3))</f>
        <v/>
      </c>
      <c r="G83" s="21"/>
      <c r="H83" s="19" t="str">
        <f aca="false">IF(OR(B83="",NOT(ISNUMBER(E83))),"",SUMIFS($E$6:$E$505,$B$6:$B$505,B83,$F$6:$F$505,F83,$A$6:$A$505,"&lt;="&amp;A83))</f>
        <v/>
      </c>
      <c r="I83" s="19" t="str">
        <f aca="false">IF(H83="","",MAX(0,Setup!$B$5-H83))</f>
        <v/>
      </c>
    </row>
    <row r="84" customFormat="false" ht="15" hidden="false" customHeight="false" outlineLevel="0" collapsed="false">
      <c r="A84" s="16"/>
      <c r="B84" s="17"/>
      <c r="C84" s="18"/>
      <c r="D84" s="18"/>
      <c r="E84" s="19" t="str">
        <f aca="false">IF(OR(C84="",D84=""),"",IF(D84&lt;=C84,"Check times",ROUND((D84-C84)*24,2)))</f>
        <v/>
      </c>
      <c r="F84" s="20" t="str">
        <f aca="false">IF(A84="","",A84-WEEKDAY(A84,3))</f>
        <v/>
      </c>
      <c r="G84" s="21"/>
      <c r="H84" s="19" t="str">
        <f aca="false">IF(OR(B84="",NOT(ISNUMBER(E84))),"",SUMIFS($E$6:$E$505,$B$6:$B$505,B84,$F$6:$F$505,F84,$A$6:$A$505,"&lt;="&amp;A84))</f>
        <v/>
      </c>
      <c r="I84" s="19" t="str">
        <f aca="false">IF(H84="","",MAX(0,Setup!$B$5-H84))</f>
        <v/>
      </c>
    </row>
    <row r="85" customFormat="false" ht="15" hidden="false" customHeight="false" outlineLevel="0" collapsed="false">
      <c r="A85" s="16"/>
      <c r="B85" s="17"/>
      <c r="C85" s="18"/>
      <c r="D85" s="18"/>
      <c r="E85" s="19" t="str">
        <f aca="false">IF(OR(C85="",D85=""),"",IF(D85&lt;=C85,"Check times",ROUND((D85-C85)*24,2)))</f>
        <v/>
      </c>
      <c r="F85" s="20" t="str">
        <f aca="false">IF(A85="","",A85-WEEKDAY(A85,3))</f>
        <v/>
      </c>
      <c r="G85" s="21"/>
      <c r="H85" s="19" t="str">
        <f aca="false">IF(OR(B85="",NOT(ISNUMBER(E85))),"",SUMIFS($E$6:$E$505,$B$6:$B$505,B85,$F$6:$F$505,F85,$A$6:$A$505,"&lt;="&amp;A85))</f>
        <v/>
      </c>
      <c r="I85" s="19" t="str">
        <f aca="false">IF(H85="","",MAX(0,Setup!$B$5-H85))</f>
        <v/>
      </c>
    </row>
    <row r="86" customFormat="false" ht="15" hidden="false" customHeight="false" outlineLevel="0" collapsed="false">
      <c r="A86" s="16"/>
      <c r="B86" s="17"/>
      <c r="C86" s="18"/>
      <c r="D86" s="18"/>
      <c r="E86" s="19" t="str">
        <f aca="false">IF(OR(C86="",D86=""),"",IF(D86&lt;=C86,"Check times",ROUND((D86-C86)*24,2)))</f>
        <v/>
      </c>
      <c r="F86" s="20" t="str">
        <f aca="false">IF(A86="","",A86-WEEKDAY(A86,3))</f>
        <v/>
      </c>
      <c r="G86" s="21"/>
      <c r="H86" s="19" t="str">
        <f aca="false">IF(OR(B86="",NOT(ISNUMBER(E86))),"",SUMIFS($E$6:$E$505,$B$6:$B$505,B86,$F$6:$F$505,F86,$A$6:$A$505,"&lt;="&amp;A86))</f>
        <v/>
      </c>
      <c r="I86" s="19" t="str">
        <f aca="false">IF(H86="","",MAX(0,Setup!$B$5-H86))</f>
        <v/>
      </c>
    </row>
    <row r="87" customFormat="false" ht="15" hidden="false" customHeight="false" outlineLevel="0" collapsed="false">
      <c r="A87" s="16"/>
      <c r="B87" s="17"/>
      <c r="C87" s="18"/>
      <c r="D87" s="18"/>
      <c r="E87" s="19" t="str">
        <f aca="false">IF(OR(C87="",D87=""),"",IF(D87&lt;=C87,"Check times",ROUND((D87-C87)*24,2)))</f>
        <v/>
      </c>
      <c r="F87" s="20" t="str">
        <f aca="false">IF(A87="","",A87-WEEKDAY(A87,3))</f>
        <v/>
      </c>
      <c r="G87" s="21"/>
      <c r="H87" s="19" t="str">
        <f aca="false">IF(OR(B87="",NOT(ISNUMBER(E87))),"",SUMIFS($E$6:$E$505,$B$6:$B$505,B87,$F$6:$F$505,F87,$A$6:$A$505,"&lt;="&amp;A87))</f>
        <v/>
      </c>
      <c r="I87" s="19" t="str">
        <f aca="false">IF(H87="","",MAX(0,Setup!$B$5-H87))</f>
        <v/>
      </c>
    </row>
    <row r="88" customFormat="false" ht="15" hidden="false" customHeight="false" outlineLevel="0" collapsed="false">
      <c r="A88" s="16"/>
      <c r="B88" s="17"/>
      <c r="C88" s="18"/>
      <c r="D88" s="18"/>
      <c r="E88" s="19" t="str">
        <f aca="false">IF(OR(C88="",D88=""),"",IF(D88&lt;=C88,"Check times",ROUND((D88-C88)*24,2)))</f>
        <v/>
      </c>
      <c r="F88" s="20" t="str">
        <f aca="false">IF(A88="","",A88-WEEKDAY(A88,3))</f>
        <v/>
      </c>
      <c r="G88" s="21"/>
      <c r="H88" s="19" t="str">
        <f aca="false">IF(OR(B88="",NOT(ISNUMBER(E88))),"",SUMIFS($E$6:$E$505,$B$6:$B$505,B88,$F$6:$F$505,F88,$A$6:$A$505,"&lt;="&amp;A88))</f>
        <v/>
      </c>
      <c r="I88" s="19" t="str">
        <f aca="false">IF(H88="","",MAX(0,Setup!$B$5-H88))</f>
        <v/>
      </c>
    </row>
    <row r="89" customFormat="false" ht="15" hidden="false" customHeight="false" outlineLevel="0" collapsed="false">
      <c r="A89" s="16"/>
      <c r="B89" s="17"/>
      <c r="C89" s="18"/>
      <c r="D89" s="18"/>
      <c r="E89" s="19" t="str">
        <f aca="false">IF(OR(C89="",D89=""),"",IF(D89&lt;=C89,"Check times",ROUND((D89-C89)*24,2)))</f>
        <v/>
      </c>
      <c r="F89" s="20" t="str">
        <f aca="false">IF(A89="","",A89-WEEKDAY(A89,3))</f>
        <v/>
      </c>
      <c r="G89" s="21"/>
      <c r="H89" s="19" t="str">
        <f aca="false">IF(OR(B89="",NOT(ISNUMBER(E89))),"",SUMIFS($E$6:$E$505,$B$6:$B$505,B89,$F$6:$F$505,F89,$A$6:$A$505,"&lt;="&amp;A89))</f>
        <v/>
      </c>
      <c r="I89" s="19" t="str">
        <f aca="false">IF(H89="","",MAX(0,Setup!$B$5-H89))</f>
        <v/>
      </c>
    </row>
    <row r="90" customFormat="false" ht="15" hidden="false" customHeight="false" outlineLevel="0" collapsed="false">
      <c r="A90" s="16"/>
      <c r="B90" s="17"/>
      <c r="C90" s="18"/>
      <c r="D90" s="18"/>
      <c r="E90" s="19" t="str">
        <f aca="false">IF(OR(C90="",D90=""),"",IF(D90&lt;=C90,"Check times",ROUND((D90-C90)*24,2)))</f>
        <v/>
      </c>
      <c r="F90" s="20" t="str">
        <f aca="false">IF(A90="","",A90-WEEKDAY(A90,3))</f>
        <v/>
      </c>
      <c r="G90" s="21"/>
      <c r="H90" s="19" t="str">
        <f aca="false">IF(OR(B90="",NOT(ISNUMBER(E90))),"",SUMIFS($E$6:$E$505,$B$6:$B$505,B90,$F$6:$F$505,F90,$A$6:$A$505,"&lt;="&amp;A90))</f>
        <v/>
      </c>
      <c r="I90" s="19" t="str">
        <f aca="false">IF(H90="","",MAX(0,Setup!$B$5-H90))</f>
        <v/>
      </c>
    </row>
    <row r="91" customFormat="false" ht="15" hidden="false" customHeight="false" outlineLevel="0" collapsed="false">
      <c r="A91" s="16"/>
      <c r="B91" s="17"/>
      <c r="C91" s="18"/>
      <c r="D91" s="18"/>
      <c r="E91" s="19" t="str">
        <f aca="false">IF(OR(C91="",D91=""),"",IF(D91&lt;=C91,"Check times",ROUND((D91-C91)*24,2)))</f>
        <v/>
      </c>
      <c r="F91" s="20" t="str">
        <f aca="false">IF(A91="","",A91-WEEKDAY(A91,3))</f>
        <v/>
      </c>
      <c r="G91" s="21"/>
      <c r="H91" s="19" t="str">
        <f aca="false">IF(OR(B91="",NOT(ISNUMBER(E91))),"",SUMIFS($E$6:$E$505,$B$6:$B$505,B91,$F$6:$F$505,F91,$A$6:$A$505,"&lt;="&amp;A91))</f>
        <v/>
      </c>
      <c r="I91" s="19" t="str">
        <f aca="false">IF(H91="","",MAX(0,Setup!$B$5-H91))</f>
        <v/>
      </c>
    </row>
    <row r="92" customFormat="false" ht="15" hidden="false" customHeight="false" outlineLevel="0" collapsed="false">
      <c r="A92" s="16"/>
      <c r="B92" s="17"/>
      <c r="C92" s="18"/>
      <c r="D92" s="18"/>
      <c r="E92" s="19" t="str">
        <f aca="false">IF(OR(C92="",D92=""),"",IF(D92&lt;=C92,"Check times",ROUND((D92-C92)*24,2)))</f>
        <v/>
      </c>
      <c r="F92" s="20" t="str">
        <f aca="false">IF(A92="","",A92-WEEKDAY(A92,3))</f>
        <v/>
      </c>
      <c r="G92" s="21"/>
      <c r="H92" s="19" t="str">
        <f aca="false">IF(OR(B92="",NOT(ISNUMBER(E92))),"",SUMIFS($E$6:$E$505,$B$6:$B$505,B92,$F$6:$F$505,F92,$A$6:$A$505,"&lt;="&amp;A92))</f>
        <v/>
      </c>
      <c r="I92" s="19" t="str">
        <f aca="false">IF(H92="","",MAX(0,Setup!$B$5-H92))</f>
        <v/>
      </c>
    </row>
    <row r="93" customFormat="false" ht="15" hidden="false" customHeight="false" outlineLevel="0" collapsed="false">
      <c r="A93" s="16"/>
      <c r="B93" s="17"/>
      <c r="C93" s="18"/>
      <c r="D93" s="18"/>
      <c r="E93" s="19" t="str">
        <f aca="false">IF(OR(C93="",D93=""),"",IF(D93&lt;=C93,"Check times",ROUND((D93-C93)*24,2)))</f>
        <v/>
      </c>
      <c r="F93" s="20" t="str">
        <f aca="false">IF(A93="","",A93-WEEKDAY(A93,3))</f>
        <v/>
      </c>
      <c r="G93" s="21"/>
      <c r="H93" s="19" t="str">
        <f aca="false">IF(OR(B93="",NOT(ISNUMBER(E93))),"",SUMIFS($E$6:$E$505,$B$6:$B$505,B93,$F$6:$F$505,F93,$A$6:$A$505,"&lt;="&amp;A93))</f>
        <v/>
      </c>
      <c r="I93" s="19" t="str">
        <f aca="false">IF(H93="","",MAX(0,Setup!$B$5-H93))</f>
        <v/>
      </c>
    </row>
    <row r="94" customFormat="false" ht="15" hidden="false" customHeight="false" outlineLevel="0" collapsed="false">
      <c r="A94" s="16"/>
      <c r="B94" s="17"/>
      <c r="C94" s="18"/>
      <c r="D94" s="18"/>
      <c r="E94" s="19" t="str">
        <f aca="false">IF(OR(C94="",D94=""),"",IF(D94&lt;=C94,"Check times",ROUND((D94-C94)*24,2)))</f>
        <v/>
      </c>
      <c r="F94" s="20" t="str">
        <f aca="false">IF(A94="","",A94-WEEKDAY(A94,3))</f>
        <v/>
      </c>
      <c r="G94" s="21"/>
      <c r="H94" s="19" t="str">
        <f aca="false">IF(OR(B94="",NOT(ISNUMBER(E94))),"",SUMIFS($E$6:$E$505,$B$6:$B$505,B94,$F$6:$F$505,F94,$A$6:$A$505,"&lt;="&amp;A94))</f>
        <v/>
      </c>
      <c r="I94" s="19" t="str">
        <f aca="false">IF(H94="","",MAX(0,Setup!$B$5-H94))</f>
        <v/>
      </c>
    </row>
    <row r="95" customFormat="false" ht="15" hidden="false" customHeight="false" outlineLevel="0" collapsed="false">
      <c r="A95" s="16"/>
      <c r="B95" s="17"/>
      <c r="C95" s="18"/>
      <c r="D95" s="18"/>
      <c r="E95" s="19" t="str">
        <f aca="false">IF(OR(C95="",D95=""),"",IF(D95&lt;=C95,"Check times",ROUND((D95-C95)*24,2)))</f>
        <v/>
      </c>
      <c r="F95" s="20" t="str">
        <f aca="false">IF(A95="","",A95-WEEKDAY(A95,3))</f>
        <v/>
      </c>
      <c r="G95" s="21"/>
      <c r="H95" s="19" t="str">
        <f aca="false">IF(OR(B95="",NOT(ISNUMBER(E95))),"",SUMIFS($E$6:$E$505,$B$6:$B$505,B95,$F$6:$F$505,F95,$A$6:$A$505,"&lt;="&amp;A95))</f>
        <v/>
      </c>
      <c r="I95" s="19" t="str">
        <f aca="false">IF(H95="","",MAX(0,Setup!$B$5-H95))</f>
        <v/>
      </c>
    </row>
    <row r="96" customFormat="false" ht="15" hidden="false" customHeight="false" outlineLevel="0" collapsed="false">
      <c r="A96" s="16"/>
      <c r="B96" s="17"/>
      <c r="C96" s="18"/>
      <c r="D96" s="18"/>
      <c r="E96" s="19" t="str">
        <f aca="false">IF(OR(C96="",D96=""),"",IF(D96&lt;=C96,"Check times",ROUND((D96-C96)*24,2)))</f>
        <v/>
      </c>
      <c r="F96" s="20" t="str">
        <f aca="false">IF(A96="","",A96-WEEKDAY(A96,3))</f>
        <v/>
      </c>
      <c r="G96" s="21"/>
      <c r="H96" s="19" t="str">
        <f aca="false">IF(OR(B96="",NOT(ISNUMBER(E96))),"",SUMIFS($E$6:$E$505,$B$6:$B$505,B96,$F$6:$F$505,F96,$A$6:$A$505,"&lt;="&amp;A96))</f>
        <v/>
      </c>
      <c r="I96" s="19" t="str">
        <f aca="false">IF(H96="","",MAX(0,Setup!$B$5-H96))</f>
        <v/>
      </c>
    </row>
    <row r="97" customFormat="false" ht="15" hidden="false" customHeight="false" outlineLevel="0" collapsed="false">
      <c r="A97" s="16"/>
      <c r="B97" s="17"/>
      <c r="C97" s="18"/>
      <c r="D97" s="18"/>
      <c r="E97" s="19" t="str">
        <f aca="false">IF(OR(C97="",D97=""),"",IF(D97&lt;=C97,"Check times",ROUND((D97-C97)*24,2)))</f>
        <v/>
      </c>
      <c r="F97" s="20" t="str">
        <f aca="false">IF(A97="","",A97-WEEKDAY(A97,3))</f>
        <v/>
      </c>
      <c r="G97" s="21"/>
      <c r="H97" s="19" t="str">
        <f aca="false">IF(OR(B97="",NOT(ISNUMBER(E97))),"",SUMIFS($E$6:$E$505,$B$6:$B$505,B97,$F$6:$F$505,F97,$A$6:$A$505,"&lt;="&amp;A97))</f>
        <v/>
      </c>
      <c r="I97" s="19" t="str">
        <f aca="false">IF(H97="","",MAX(0,Setup!$B$5-H97))</f>
        <v/>
      </c>
    </row>
    <row r="98" customFormat="false" ht="15" hidden="false" customHeight="false" outlineLevel="0" collapsed="false">
      <c r="A98" s="16"/>
      <c r="B98" s="17"/>
      <c r="C98" s="18"/>
      <c r="D98" s="18"/>
      <c r="E98" s="19" t="str">
        <f aca="false">IF(OR(C98="",D98=""),"",IF(D98&lt;=C98,"Check times",ROUND((D98-C98)*24,2)))</f>
        <v/>
      </c>
      <c r="F98" s="20" t="str">
        <f aca="false">IF(A98="","",A98-WEEKDAY(A98,3))</f>
        <v/>
      </c>
      <c r="G98" s="21"/>
      <c r="H98" s="19" t="str">
        <f aca="false">IF(OR(B98="",NOT(ISNUMBER(E98))),"",SUMIFS($E$6:$E$505,$B$6:$B$505,B98,$F$6:$F$505,F98,$A$6:$A$505,"&lt;="&amp;A98))</f>
        <v/>
      </c>
      <c r="I98" s="19" t="str">
        <f aca="false">IF(H98="","",MAX(0,Setup!$B$5-H98))</f>
        <v/>
      </c>
    </row>
    <row r="99" customFormat="false" ht="15" hidden="false" customHeight="false" outlineLevel="0" collapsed="false">
      <c r="A99" s="16"/>
      <c r="B99" s="17"/>
      <c r="C99" s="18"/>
      <c r="D99" s="18"/>
      <c r="E99" s="19" t="str">
        <f aca="false">IF(OR(C99="",D99=""),"",IF(D99&lt;=C99,"Check times",ROUND((D99-C99)*24,2)))</f>
        <v/>
      </c>
      <c r="F99" s="20" t="str">
        <f aca="false">IF(A99="","",A99-WEEKDAY(A99,3))</f>
        <v/>
      </c>
      <c r="G99" s="21"/>
      <c r="H99" s="19" t="str">
        <f aca="false">IF(OR(B99="",NOT(ISNUMBER(E99))),"",SUMIFS($E$6:$E$505,$B$6:$B$505,B99,$F$6:$F$505,F99,$A$6:$A$505,"&lt;="&amp;A99))</f>
        <v/>
      </c>
      <c r="I99" s="19" t="str">
        <f aca="false">IF(H99="","",MAX(0,Setup!$B$5-H99))</f>
        <v/>
      </c>
    </row>
    <row r="100" customFormat="false" ht="15" hidden="false" customHeight="false" outlineLevel="0" collapsed="false">
      <c r="A100" s="16"/>
      <c r="B100" s="17"/>
      <c r="C100" s="18"/>
      <c r="D100" s="18"/>
      <c r="E100" s="19" t="str">
        <f aca="false">IF(OR(C100="",D100=""),"",IF(D100&lt;=C100,"Check times",ROUND((D100-C100)*24,2)))</f>
        <v/>
      </c>
      <c r="F100" s="20" t="str">
        <f aca="false">IF(A100="","",A100-WEEKDAY(A100,3))</f>
        <v/>
      </c>
      <c r="G100" s="21"/>
      <c r="H100" s="19" t="str">
        <f aca="false">IF(OR(B100="",NOT(ISNUMBER(E100))),"",SUMIFS($E$6:$E$505,$B$6:$B$505,B100,$F$6:$F$505,F100,$A$6:$A$505,"&lt;="&amp;A100))</f>
        <v/>
      </c>
      <c r="I100" s="19" t="str">
        <f aca="false">IF(H100="","",MAX(0,Setup!$B$5-H100))</f>
        <v/>
      </c>
    </row>
    <row r="101" customFormat="false" ht="15" hidden="false" customHeight="false" outlineLevel="0" collapsed="false">
      <c r="A101" s="16"/>
      <c r="B101" s="17"/>
      <c r="C101" s="18"/>
      <c r="D101" s="18"/>
      <c r="E101" s="19" t="str">
        <f aca="false">IF(OR(C101="",D101=""),"",IF(D101&lt;=C101,"Check times",ROUND((D101-C101)*24,2)))</f>
        <v/>
      </c>
      <c r="F101" s="20" t="str">
        <f aca="false">IF(A101="","",A101-WEEKDAY(A101,3))</f>
        <v/>
      </c>
      <c r="G101" s="21"/>
      <c r="H101" s="19" t="str">
        <f aca="false">IF(OR(B101="",NOT(ISNUMBER(E101))),"",SUMIFS($E$6:$E$505,$B$6:$B$505,B101,$F$6:$F$505,F101,$A$6:$A$505,"&lt;="&amp;A101))</f>
        <v/>
      </c>
      <c r="I101" s="19" t="str">
        <f aca="false">IF(H101="","",MAX(0,Setup!$B$5-H101))</f>
        <v/>
      </c>
    </row>
    <row r="102" customFormat="false" ht="15" hidden="false" customHeight="false" outlineLevel="0" collapsed="false">
      <c r="A102" s="16"/>
      <c r="B102" s="17"/>
      <c r="C102" s="18"/>
      <c r="D102" s="18"/>
      <c r="E102" s="19" t="str">
        <f aca="false">IF(OR(C102="",D102=""),"",IF(D102&lt;=C102,"Check times",ROUND((D102-C102)*24,2)))</f>
        <v/>
      </c>
      <c r="F102" s="20" t="str">
        <f aca="false">IF(A102="","",A102-WEEKDAY(A102,3))</f>
        <v/>
      </c>
      <c r="G102" s="21"/>
      <c r="H102" s="19" t="str">
        <f aca="false">IF(OR(B102="",NOT(ISNUMBER(E102))),"",SUMIFS($E$6:$E$505,$B$6:$B$505,B102,$F$6:$F$505,F102,$A$6:$A$505,"&lt;="&amp;A102))</f>
        <v/>
      </c>
      <c r="I102" s="19" t="str">
        <f aca="false">IF(H102="","",MAX(0,Setup!$B$5-H102))</f>
        <v/>
      </c>
    </row>
    <row r="103" customFormat="false" ht="15" hidden="false" customHeight="false" outlineLevel="0" collapsed="false">
      <c r="A103" s="16"/>
      <c r="B103" s="17"/>
      <c r="C103" s="18"/>
      <c r="D103" s="18"/>
      <c r="E103" s="19" t="str">
        <f aca="false">IF(OR(C103="",D103=""),"",IF(D103&lt;=C103,"Check times",ROUND((D103-C103)*24,2)))</f>
        <v/>
      </c>
      <c r="F103" s="20" t="str">
        <f aca="false">IF(A103="","",A103-WEEKDAY(A103,3))</f>
        <v/>
      </c>
      <c r="G103" s="21"/>
      <c r="H103" s="19" t="str">
        <f aca="false">IF(OR(B103="",NOT(ISNUMBER(E103))),"",SUMIFS($E$6:$E$505,$B$6:$B$505,B103,$F$6:$F$505,F103,$A$6:$A$505,"&lt;="&amp;A103))</f>
        <v/>
      </c>
      <c r="I103" s="19" t="str">
        <f aca="false">IF(H103="","",MAX(0,Setup!$B$5-H103))</f>
        <v/>
      </c>
    </row>
    <row r="104" customFormat="false" ht="15" hidden="false" customHeight="false" outlineLevel="0" collapsed="false">
      <c r="A104" s="16"/>
      <c r="B104" s="17"/>
      <c r="C104" s="18"/>
      <c r="D104" s="18"/>
      <c r="E104" s="19" t="str">
        <f aca="false">IF(OR(C104="",D104=""),"",IF(D104&lt;=C104,"Check times",ROUND((D104-C104)*24,2)))</f>
        <v/>
      </c>
      <c r="F104" s="20" t="str">
        <f aca="false">IF(A104="","",A104-WEEKDAY(A104,3))</f>
        <v/>
      </c>
      <c r="G104" s="21"/>
      <c r="H104" s="19" t="str">
        <f aca="false">IF(OR(B104="",NOT(ISNUMBER(E104))),"",SUMIFS($E$6:$E$505,$B$6:$B$505,B104,$F$6:$F$505,F104,$A$6:$A$505,"&lt;="&amp;A104))</f>
        <v/>
      </c>
      <c r="I104" s="19" t="str">
        <f aca="false">IF(H104="","",MAX(0,Setup!$B$5-H104))</f>
        <v/>
      </c>
    </row>
    <row r="105" customFormat="false" ht="15" hidden="false" customHeight="false" outlineLevel="0" collapsed="false">
      <c r="A105" s="16"/>
      <c r="B105" s="17"/>
      <c r="C105" s="18"/>
      <c r="D105" s="18"/>
      <c r="E105" s="19" t="str">
        <f aca="false">IF(OR(C105="",D105=""),"",IF(D105&lt;=C105,"Check times",ROUND((D105-C105)*24,2)))</f>
        <v/>
      </c>
      <c r="F105" s="20" t="str">
        <f aca="false">IF(A105="","",A105-WEEKDAY(A105,3))</f>
        <v/>
      </c>
      <c r="G105" s="21"/>
      <c r="H105" s="19" t="str">
        <f aca="false">IF(OR(B105="",NOT(ISNUMBER(E105))),"",SUMIFS($E$6:$E$505,$B$6:$B$505,B105,$F$6:$F$505,F105,$A$6:$A$505,"&lt;="&amp;A105))</f>
        <v/>
      </c>
      <c r="I105" s="19" t="str">
        <f aca="false">IF(H105="","",MAX(0,Setup!$B$5-H105))</f>
        <v/>
      </c>
    </row>
    <row r="106" customFormat="false" ht="15" hidden="false" customHeight="false" outlineLevel="0" collapsed="false">
      <c r="A106" s="16"/>
      <c r="B106" s="17"/>
      <c r="C106" s="18"/>
      <c r="D106" s="18"/>
      <c r="E106" s="19" t="str">
        <f aca="false">IF(OR(C106="",D106=""),"",IF(D106&lt;=C106,"Check times",ROUND((D106-C106)*24,2)))</f>
        <v/>
      </c>
      <c r="F106" s="20" t="str">
        <f aca="false">IF(A106="","",A106-WEEKDAY(A106,3))</f>
        <v/>
      </c>
      <c r="G106" s="21"/>
      <c r="H106" s="19" t="str">
        <f aca="false">IF(OR(B106="",NOT(ISNUMBER(E106))),"",SUMIFS($E$6:$E$505,$B$6:$B$505,B106,$F$6:$F$505,F106,$A$6:$A$505,"&lt;="&amp;A106))</f>
        <v/>
      </c>
      <c r="I106" s="19" t="str">
        <f aca="false">IF(H106="","",MAX(0,Setup!$B$5-H106))</f>
        <v/>
      </c>
    </row>
    <row r="107" customFormat="false" ht="15" hidden="false" customHeight="false" outlineLevel="0" collapsed="false">
      <c r="A107" s="16"/>
      <c r="B107" s="17"/>
      <c r="C107" s="18"/>
      <c r="D107" s="18"/>
      <c r="E107" s="19" t="str">
        <f aca="false">IF(OR(C107="",D107=""),"",IF(D107&lt;=C107,"Check times",ROUND((D107-C107)*24,2)))</f>
        <v/>
      </c>
      <c r="F107" s="20" t="str">
        <f aca="false">IF(A107="","",A107-WEEKDAY(A107,3))</f>
        <v/>
      </c>
      <c r="G107" s="21"/>
      <c r="H107" s="19" t="str">
        <f aca="false">IF(OR(B107="",NOT(ISNUMBER(E107))),"",SUMIFS($E$6:$E$505,$B$6:$B$505,B107,$F$6:$F$505,F107,$A$6:$A$505,"&lt;="&amp;A107))</f>
        <v/>
      </c>
      <c r="I107" s="19" t="str">
        <f aca="false">IF(H107="","",MAX(0,Setup!$B$5-H107))</f>
        <v/>
      </c>
    </row>
    <row r="108" customFormat="false" ht="15" hidden="false" customHeight="false" outlineLevel="0" collapsed="false">
      <c r="A108" s="16"/>
      <c r="B108" s="17"/>
      <c r="C108" s="18"/>
      <c r="D108" s="18"/>
      <c r="E108" s="19" t="str">
        <f aca="false">IF(OR(C108="",D108=""),"",IF(D108&lt;=C108,"Check times",ROUND((D108-C108)*24,2)))</f>
        <v/>
      </c>
      <c r="F108" s="20" t="str">
        <f aca="false">IF(A108="","",A108-WEEKDAY(A108,3))</f>
        <v/>
      </c>
      <c r="G108" s="21"/>
      <c r="H108" s="19" t="str">
        <f aca="false">IF(OR(B108="",NOT(ISNUMBER(E108))),"",SUMIFS($E$6:$E$505,$B$6:$B$505,B108,$F$6:$F$505,F108,$A$6:$A$505,"&lt;="&amp;A108))</f>
        <v/>
      </c>
      <c r="I108" s="19" t="str">
        <f aca="false">IF(H108="","",MAX(0,Setup!$B$5-H108))</f>
        <v/>
      </c>
    </row>
    <row r="109" customFormat="false" ht="15" hidden="false" customHeight="false" outlineLevel="0" collapsed="false">
      <c r="A109" s="16"/>
      <c r="B109" s="17"/>
      <c r="C109" s="18"/>
      <c r="D109" s="18"/>
      <c r="E109" s="19" t="str">
        <f aca="false">IF(OR(C109="",D109=""),"",IF(D109&lt;=C109,"Check times",ROUND((D109-C109)*24,2)))</f>
        <v/>
      </c>
      <c r="F109" s="20" t="str">
        <f aca="false">IF(A109="","",A109-WEEKDAY(A109,3))</f>
        <v/>
      </c>
      <c r="G109" s="21"/>
      <c r="H109" s="19" t="str">
        <f aca="false">IF(OR(B109="",NOT(ISNUMBER(E109))),"",SUMIFS($E$6:$E$505,$B$6:$B$505,B109,$F$6:$F$505,F109,$A$6:$A$505,"&lt;="&amp;A109))</f>
        <v/>
      </c>
      <c r="I109" s="19" t="str">
        <f aca="false">IF(H109="","",MAX(0,Setup!$B$5-H109))</f>
        <v/>
      </c>
    </row>
    <row r="110" customFormat="false" ht="15" hidden="false" customHeight="false" outlineLevel="0" collapsed="false">
      <c r="A110" s="16"/>
      <c r="B110" s="17"/>
      <c r="C110" s="18"/>
      <c r="D110" s="18"/>
      <c r="E110" s="19" t="str">
        <f aca="false">IF(OR(C110="",D110=""),"",IF(D110&lt;=C110,"Check times",ROUND((D110-C110)*24,2)))</f>
        <v/>
      </c>
      <c r="F110" s="20" t="str">
        <f aca="false">IF(A110="","",A110-WEEKDAY(A110,3))</f>
        <v/>
      </c>
      <c r="G110" s="21"/>
      <c r="H110" s="19" t="str">
        <f aca="false">IF(OR(B110="",NOT(ISNUMBER(E110))),"",SUMIFS($E$6:$E$505,$B$6:$B$505,B110,$F$6:$F$505,F110,$A$6:$A$505,"&lt;="&amp;A110))</f>
        <v/>
      </c>
      <c r="I110" s="19" t="str">
        <f aca="false">IF(H110="","",MAX(0,Setup!$B$5-H110))</f>
        <v/>
      </c>
    </row>
    <row r="111" customFormat="false" ht="15" hidden="false" customHeight="false" outlineLevel="0" collapsed="false">
      <c r="A111" s="16"/>
      <c r="B111" s="17"/>
      <c r="C111" s="18"/>
      <c r="D111" s="18"/>
      <c r="E111" s="19" t="str">
        <f aca="false">IF(OR(C111="",D111=""),"",IF(D111&lt;=C111,"Check times",ROUND((D111-C111)*24,2)))</f>
        <v/>
      </c>
      <c r="F111" s="20" t="str">
        <f aca="false">IF(A111="","",A111-WEEKDAY(A111,3))</f>
        <v/>
      </c>
      <c r="G111" s="21"/>
      <c r="H111" s="19" t="str">
        <f aca="false">IF(OR(B111="",NOT(ISNUMBER(E111))),"",SUMIFS($E$6:$E$505,$B$6:$B$505,B111,$F$6:$F$505,F111,$A$6:$A$505,"&lt;="&amp;A111))</f>
        <v/>
      </c>
      <c r="I111" s="19" t="str">
        <f aca="false">IF(H111="","",MAX(0,Setup!$B$5-H111))</f>
        <v/>
      </c>
    </row>
    <row r="112" customFormat="false" ht="15" hidden="false" customHeight="false" outlineLevel="0" collapsed="false">
      <c r="A112" s="16"/>
      <c r="B112" s="17"/>
      <c r="C112" s="18"/>
      <c r="D112" s="18"/>
      <c r="E112" s="19" t="str">
        <f aca="false">IF(OR(C112="",D112=""),"",IF(D112&lt;=C112,"Check times",ROUND((D112-C112)*24,2)))</f>
        <v/>
      </c>
      <c r="F112" s="20" t="str">
        <f aca="false">IF(A112="","",A112-WEEKDAY(A112,3))</f>
        <v/>
      </c>
      <c r="G112" s="21"/>
      <c r="H112" s="19" t="str">
        <f aca="false">IF(OR(B112="",NOT(ISNUMBER(E112))),"",SUMIFS($E$6:$E$505,$B$6:$B$505,B112,$F$6:$F$505,F112,$A$6:$A$505,"&lt;="&amp;A112))</f>
        <v/>
      </c>
      <c r="I112" s="19" t="str">
        <f aca="false">IF(H112="","",MAX(0,Setup!$B$5-H112))</f>
        <v/>
      </c>
    </row>
    <row r="113" customFormat="false" ht="15" hidden="false" customHeight="false" outlineLevel="0" collapsed="false">
      <c r="A113" s="16"/>
      <c r="B113" s="17"/>
      <c r="C113" s="18"/>
      <c r="D113" s="18"/>
      <c r="E113" s="19" t="str">
        <f aca="false">IF(OR(C113="",D113=""),"",IF(D113&lt;=C113,"Check times",ROUND((D113-C113)*24,2)))</f>
        <v/>
      </c>
      <c r="F113" s="20" t="str">
        <f aca="false">IF(A113="","",A113-WEEKDAY(A113,3))</f>
        <v/>
      </c>
      <c r="G113" s="21"/>
      <c r="H113" s="19" t="str">
        <f aca="false">IF(OR(B113="",NOT(ISNUMBER(E113))),"",SUMIFS($E$6:$E$505,$B$6:$B$505,B113,$F$6:$F$505,F113,$A$6:$A$505,"&lt;="&amp;A113))</f>
        <v/>
      </c>
      <c r="I113" s="19" t="str">
        <f aca="false">IF(H113="","",MAX(0,Setup!$B$5-H113))</f>
        <v/>
      </c>
    </row>
    <row r="114" customFormat="false" ht="15" hidden="false" customHeight="false" outlineLevel="0" collapsed="false">
      <c r="A114" s="16"/>
      <c r="B114" s="17"/>
      <c r="C114" s="18"/>
      <c r="D114" s="18"/>
      <c r="E114" s="19" t="str">
        <f aca="false">IF(OR(C114="",D114=""),"",IF(D114&lt;=C114,"Check times",ROUND((D114-C114)*24,2)))</f>
        <v/>
      </c>
      <c r="F114" s="20" t="str">
        <f aca="false">IF(A114="","",A114-WEEKDAY(A114,3))</f>
        <v/>
      </c>
      <c r="G114" s="21"/>
      <c r="H114" s="19" t="str">
        <f aca="false">IF(OR(B114="",NOT(ISNUMBER(E114))),"",SUMIFS($E$6:$E$505,$B$6:$B$505,B114,$F$6:$F$505,F114,$A$6:$A$505,"&lt;="&amp;A114))</f>
        <v/>
      </c>
      <c r="I114" s="19" t="str">
        <f aca="false">IF(H114="","",MAX(0,Setup!$B$5-H114))</f>
        <v/>
      </c>
    </row>
    <row r="115" customFormat="false" ht="15" hidden="false" customHeight="false" outlineLevel="0" collapsed="false">
      <c r="A115" s="16"/>
      <c r="B115" s="17"/>
      <c r="C115" s="18"/>
      <c r="D115" s="18"/>
      <c r="E115" s="19" t="str">
        <f aca="false">IF(OR(C115="",D115=""),"",IF(D115&lt;=C115,"Check times",ROUND((D115-C115)*24,2)))</f>
        <v/>
      </c>
      <c r="F115" s="20" t="str">
        <f aca="false">IF(A115="","",A115-WEEKDAY(A115,3))</f>
        <v/>
      </c>
      <c r="G115" s="21"/>
      <c r="H115" s="19" t="str">
        <f aca="false">IF(OR(B115="",NOT(ISNUMBER(E115))),"",SUMIFS($E$6:$E$505,$B$6:$B$505,B115,$F$6:$F$505,F115,$A$6:$A$505,"&lt;="&amp;A115))</f>
        <v/>
      </c>
      <c r="I115" s="19" t="str">
        <f aca="false">IF(H115="","",MAX(0,Setup!$B$5-H115))</f>
        <v/>
      </c>
    </row>
    <row r="116" customFormat="false" ht="15" hidden="false" customHeight="false" outlineLevel="0" collapsed="false">
      <c r="A116" s="16"/>
      <c r="B116" s="17"/>
      <c r="C116" s="18"/>
      <c r="D116" s="18"/>
      <c r="E116" s="19" t="str">
        <f aca="false">IF(OR(C116="",D116=""),"",IF(D116&lt;=C116,"Check times",ROUND((D116-C116)*24,2)))</f>
        <v/>
      </c>
      <c r="F116" s="20" t="str">
        <f aca="false">IF(A116="","",A116-WEEKDAY(A116,3))</f>
        <v/>
      </c>
      <c r="G116" s="21"/>
      <c r="H116" s="19" t="str">
        <f aca="false">IF(OR(B116="",NOT(ISNUMBER(E116))),"",SUMIFS($E$6:$E$505,$B$6:$B$505,B116,$F$6:$F$505,F116,$A$6:$A$505,"&lt;="&amp;A116))</f>
        <v/>
      </c>
      <c r="I116" s="19" t="str">
        <f aca="false">IF(H116="","",MAX(0,Setup!$B$5-H116))</f>
        <v/>
      </c>
    </row>
    <row r="117" customFormat="false" ht="15" hidden="false" customHeight="false" outlineLevel="0" collapsed="false">
      <c r="A117" s="16"/>
      <c r="B117" s="17"/>
      <c r="C117" s="18"/>
      <c r="D117" s="18"/>
      <c r="E117" s="19" t="str">
        <f aca="false">IF(OR(C117="",D117=""),"",IF(D117&lt;=C117,"Check times",ROUND((D117-C117)*24,2)))</f>
        <v/>
      </c>
      <c r="F117" s="20" t="str">
        <f aca="false">IF(A117="","",A117-WEEKDAY(A117,3))</f>
        <v/>
      </c>
      <c r="G117" s="21"/>
      <c r="H117" s="19" t="str">
        <f aca="false">IF(OR(B117="",NOT(ISNUMBER(E117))),"",SUMIFS($E$6:$E$505,$B$6:$B$505,B117,$F$6:$F$505,F117,$A$6:$A$505,"&lt;="&amp;A117))</f>
        <v/>
      </c>
      <c r="I117" s="19" t="str">
        <f aca="false">IF(H117="","",MAX(0,Setup!$B$5-H117))</f>
        <v/>
      </c>
    </row>
    <row r="118" customFormat="false" ht="15" hidden="false" customHeight="false" outlineLevel="0" collapsed="false">
      <c r="A118" s="16"/>
      <c r="B118" s="17"/>
      <c r="C118" s="18"/>
      <c r="D118" s="18"/>
      <c r="E118" s="19" t="str">
        <f aca="false">IF(OR(C118="",D118=""),"",IF(D118&lt;=C118,"Check times",ROUND((D118-C118)*24,2)))</f>
        <v/>
      </c>
      <c r="F118" s="20" t="str">
        <f aca="false">IF(A118="","",A118-WEEKDAY(A118,3))</f>
        <v/>
      </c>
      <c r="G118" s="21"/>
      <c r="H118" s="19" t="str">
        <f aca="false">IF(OR(B118="",NOT(ISNUMBER(E118))),"",SUMIFS($E$6:$E$505,$B$6:$B$505,B118,$F$6:$F$505,F118,$A$6:$A$505,"&lt;="&amp;A118))</f>
        <v/>
      </c>
      <c r="I118" s="19" t="str">
        <f aca="false">IF(H118="","",MAX(0,Setup!$B$5-H118))</f>
        <v/>
      </c>
    </row>
    <row r="119" customFormat="false" ht="15" hidden="false" customHeight="false" outlineLevel="0" collapsed="false">
      <c r="A119" s="16"/>
      <c r="B119" s="17"/>
      <c r="C119" s="18"/>
      <c r="D119" s="18"/>
      <c r="E119" s="19" t="str">
        <f aca="false">IF(OR(C119="",D119=""),"",IF(D119&lt;=C119,"Check times",ROUND((D119-C119)*24,2)))</f>
        <v/>
      </c>
      <c r="F119" s="20" t="str">
        <f aca="false">IF(A119="","",A119-WEEKDAY(A119,3))</f>
        <v/>
      </c>
      <c r="G119" s="21"/>
      <c r="H119" s="19" t="str">
        <f aca="false">IF(OR(B119="",NOT(ISNUMBER(E119))),"",SUMIFS($E$6:$E$505,$B$6:$B$505,B119,$F$6:$F$505,F119,$A$6:$A$505,"&lt;="&amp;A119))</f>
        <v/>
      </c>
      <c r="I119" s="19" t="str">
        <f aca="false">IF(H119="","",MAX(0,Setup!$B$5-H119))</f>
        <v/>
      </c>
    </row>
    <row r="120" customFormat="false" ht="15" hidden="false" customHeight="false" outlineLevel="0" collapsed="false">
      <c r="A120" s="16"/>
      <c r="B120" s="17"/>
      <c r="C120" s="18"/>
      <c r="D120" s="18"/>
      <c r="E120" s="19" t="str">
        <f aca="false">IF(OR(C120="",D120=""),"",IF(D120&lt;=C120,"Check times",ROUND((D120-C120)*24,2)))</f>
        <v/>
      </c>
      <c r="F120" s="20" t="str">
        <f aca="false">IF(A120="","",A120-WEEKDAY(A120,3))</f>
        <v/>
      </c>
      <c r="G120" s="21"/>
      <c r="H120" s="19" t="str">
        <f aca="false">IF(OR(B120="",NOT(ISNUMBER(E120))),"",SUMIFS($E$6:$E$505,$B$6:$B$505,B120,$F$6:$F$505,F120,$A$6:$A$505,"&lt;="&amp;A120))</f>
        <v/>
      </c>
      <c r="I120" s="19" t="str">
        <f aca="false">IF(H120="","",MAX(0,Setup!$B$5-H120))</f>
        <v/>
      </c>
    </row>
    <row r="121" customFormat="false" ht="15" hidden="false" customHeight="false" outlineLevel="0" collapsed="false">
      <c r="A121" s="16"/>
      <c r="B121" s="17"/>
      <c r="C121" s="18"/>
      <c r="D121" s="18"/>
      <c r="E121" s="19" t="str">
        <f aca="false">IF(OR(C121="",D121=""),"",IF(D121&lt;=C121,"Check times",ROUND((D121-C121)*24,2)))</f>
        <v/>
      </c>
      <c r="F121" s="20" t="str">
        <f aca="false">IF(A121="","",A121-WEEKDAY(A121,3))</f>
        <v/>
      </c>
      <c r="G121" s="21"/>
      <c r="H121" s="19" t="str">
        <f aca="false">IF(OR(B121="",NOT(ISNUMBER(E121))),"",SUMIFS($E$6:$E$505,$B$6:$B$505,B121,$F$6:$F$505,F121,$A$6:$A$505,"&lt;="&amp;A121))</f>
        <v/>
      </c>
      <c r="I121" s="19" t="str">
        <f aca="false">IF(H121="","",MAX(0,Setup!$B$5-H121))</f>
        <v/>
      </c>
    </row>
    <row r="122" customFormat="false" ht="15" hidden="false" customHeight="false" outlineLevel="0" collapsed="false">
      <c r="A122" s="16"/>
      <c r="B122" s="17"/>
      <c r="C122" s="18"/>
      <c r="D122" s="18"/>
      <c r="E122" s="19" t="str">
        <f aca="false">IF(OR(C122="",D122=""),"",IF(D122&lt;=C122,"Check times",ROUND((D122-C122)*24,2)))</f>
        <v/>
      </c>
      <c r="F122" s="20" t="str">
        <f aca="false">IF(A122="","",A122-WEEKDAY(A122,3))</f>
        <v/>
      </c>
      <c r="G122" s="21"/>
      <c r="H122" s="19" t="str">
        <f aca="false">IF(OR(B122="",NOT(ISNUMBER(E122))),"",SUMIFS($E$6:$E$505,$B$6:$B$505,B122,$F$6:$F$505,F122,$A$6:$A$505,"&lt;="&amp;A122))</f>
        <v/>
      </c>
      <c r="I122" s="19" t="str">
        <f aca="false">IF(H122="","",MAX(0,Setup!$B$5-H122))</f>
        <v/>
      </c>
    </row>
    <row r="123" customFormat="false" ht="15" hidden="false" customHeight="false" outlineLevel="0" collapsed="false">
      <c r="A123" s="16"/>
      <c r="B123" s="17"/>
      <c r="C123" s="18"/>
      <c r="D123" s="18"/>
      <c r="E123" s="19" t="str">
        <f aca="false">IF(OR(C123="",D123=""),"",IF(D123&lt;=C123,"Check times",ROUND((D123-C123)*24,2)))</f>
        <v/>
      </c>
      <c r="F123" s="20" t="str">
        <f aca="false">IF(A123="","",A123-WEEKDAY(A123,3))</f>
        <v/>
      </c>
      <c r="G123" s="21"/>
      <c r="H123" s="19" t="str">
        <f aca="false">IF(OR(B123="",NOT(ISNUMBER(E123))),"",SUMIFS($E$6:$E$505,$B$6:$B$505,B123,$F$6:$F$505,F123,$A$6:$A$505,"&lt;="&amp;A123))</f>
        <v/>
      </c>
      <c r="I123" s="19" t="str">
        <f aca="false">IF(H123="","",MAX(0,Setup!$B$5-H123))</f>
        <v/>
      </c>
    </row>
    <row r="124" customFormat="false" ht="15" hidden="false" customHeight="false" outlineLevel="0" collapsed="false">
      <c r="A124" s="16"/>
      <c r="B124" s="17"/>
      <c r="C124" s="18"/>
      <c r="D124" s="18"/>
      <c r="E124" s="19" t="str">
        <f aca="false">IF(OR(C124="",D124=""),"",IF(D124&lt;=C124,"Check times",ROUND((D124-C124)*24,2)))</f>
        <v/>
      </c>
      <c r="F124" s="20" t="str">
        <f aca="false">IF(A124="","",A124-WEEKDAY(A124,3))</f>
        <v/>
      </c>
      <c r="G124" s="21"/>
      <c r="H124" s="19" t="str">
        <f aca="false">IF(OR(B124="",NOT(ISNUMBER(E124))),"",SUMIFS($E$6:$E$505,$B$6:$B$505,B124,$F$6:$F$505,F124,$A$6:$A$505,"&lt;="&amp;A124))</f>
        <v/>
      </c>
      <c r="I124" s="19" t="str">
        <f aca="false">IF(H124="","",MAX(0,Setup!$B$5-H124))</f>
        <v/>
      </c>
    </row>
    <row r="125" customFormat="false" ht="15" hidden="false" customHeight="false" outlineLevel="0" collapsed="false">
      <c r="A125" s="16"/>
      <c r="B125" s="17"/>
      <c r="C125" s="18"/>
      <c r="D125" s="18"/>
      <c r="E125" s="19" t="str">
        <f aca="false">IF(OR(C125="",D125=""),"",IF(D125&lt;=C125,"Check times",ROUND((D125-C125)*24,2)))</f>
        <v/>
      </c>
      <c r="F125" s="20" t="str">
        <f aca="false">IF(A125="","",A125-WEEKDAY(A125,3))</f>
        <v/>
      </c>
      <c r="G125" s="21"/>
      <c r="H125" s="19" t="str">
        <f aca="false">IF(OR(B125="",NOT(ISNUMBER(E125))),"",SUMIFS($E$6:$E$505,$B$6:$B$505,B125,$F$6:$F$505,F125,$A$6:$A$505,"&lt;="&amp;A125))</f>
        <v/>
      </c>
      <c r="I125" s="19" t="str">
        <f aca="false">IF(H125="","",MAX(0,Setup!$B$5-H125))</f>
        <v/>
      </c>
    </row>
    <row r="126" customFormat="false" ht="15" hidden="false" customHeight="false" outlineLevel="0" collapsed="false">
      <c r="A126" s="16"/>
      <c r="B126" s="17"/>
      <c r="C126" s="18"/>
      <c r="D126" s="18"/>
      <c r="E126" s="19" t="str">
        <f aca="false">IF(OR(C126="",D126=""),"",IF(D126&lt;=C126,"Check times",ROUND((D126-C126)*24,2)))</f>
        <v/>
      </c>
      <c r="F126" s="20" t="str">
        <f aca="false">IF(A126="","",A126-WEEKDAY(A126,3))</f>
        <v/>
      </c>
      <c r="G126" s="21"/>
      <c r="H126" s="19" t="str">
        <f aca="false">IF(OR(B126="",NOT(ISNUMBER(E126))),"",SUMIFS($E$6:$E$505,$B$6:$B$505,B126,$F$6:$F$505,F126,$A$6:$A$505,"&lt;="&amp;A126))</f>
        <v/>
      </c>
      <c r="I126" s="19" t="str">
        <f aca="false">IF(H126="","",MAX(0,Setup!$B$5-H126))</f>
        <v/>
      </c>
    </row>
    <row r="127" customFormat="false" ht="15" hidden="false" customHeight="false" outlineLevel="0" collapsed="false">
      <c r="A127" s="16"/>
      <c r="B127" s="17"/>
      <c r="C127" s="18"/>
      <c r="D127" s="18"/>
      <c r="E127" s="19" t="str">
        <f aca="false">IF(OR(C127="",D127=""),"",IF(D127&lt;=C127,"Check times",ROUND((D127-C127)*24,2)))</f>
        <v/>
      </c>
      <c r="F127" s="20" t="str">
        <f aca="false">IF(A127="","",A127-WEEKDAY(A127,3))</f>
        <v/>
      </c>
      <c r="G127" s="21"/>
      <c r="H127" s="19" t="str">
        <f aca="false">IF(OR(B127="",NOT(ISNUMBER(E127))),"",SUMIFS($E$6:$E$505,$B$6:$B$505,B127,$F$6:$F$505,F127,$A$6:$A$505,"&lt;="&amp;A127))</f>
        <v/>
      </c>
      <c r="I127" s="19" t="str">
        <f aca="false">IF(H127="","",MAX(0,Setup!$B$5-H127))</f>
        <v/>
      </c>
    </row>
    <row r="128" customFormat="false" ht="15" hidden="false" customHeight="false" outlineLevel="0" collapsed="false">
      <c r="A128" s="16"/>
      <c r="B128" s="17"/>
      <c r="C128" s="18"/>
      <c r="D128" s="18"/>
      <c r="E128" s="19" t="str">
        <f aca="false">IF(OR(C128="",D128=""),"",IF(D128&lt;=C128,"Check times",ROUND((D128-C128)*24,2)))</f>
        <v/>
      </c>
      <c r="F128" s="20" t="str">
        <f aca="false">IF(A128="","",A128-WEEKDAY(A128,3))</f>
        <v/>
      </c>
      <c r="G128" s="21"/>
      <c r="H128" s="19" t="str">
        <f aca="false">IF(OR(B128="",NOT(ISNUMBER(E128))),"",SUMIFS($E$6:$E$505,$B$6:$B$505,B128,$F$6:$F$505,F128,$A$6:$A$505,"&lt;="&amp;A128))</f>
        <v/>
      </c>
      <c r="I128" s="19" t="str">
        <f aca="false">IF(H128="","",MAX(0,Setup!$B$5-H128))</f>
        <v/>
      </c>
    </row>
    <row r="129" customFormat="false" ht="15" hidden="false" customHeight="false" outlineLevel="0" collapsed="false">
      <c r="A129" s="16"/>
      <c r="B129" s="17"/>
      <c r="C129" s="18"/>
      <c r="D129" s="18"/>
      <c r="E129" s="19" t="str">
        <f aca="false">IF(OR(C129="",D129=""),"",IF(D129&lt;=C129,"Check times",ROUND((D129-C129)*24,2)))</f>
        <v/>
      </c>
      <c r="F129" s="20" t="str">
        <f aca="false">IF(A129="","",A129-WEEKDAY(A129,3))</f>
        <v/>
      </c>
      <c r="G129" s="21"/>
      <c r="H129" s="19" t="str">
        <f aca="false">IF(OR(B129="",NOT(ISNUMBER(E129))),"",SUMIFS($E$6:$E$505,$B$6:$B$505,B129,$F$6:$F$505,F129,$A$6:$A$505,"&lt;="&amp;A129))</f>
        <v/>
      </c>
      <c r="I129" s="19" t="str">
        <f aca="false">IF(H129="","",MAX(0,Setup!$B$5-H129))</f>
        <v/>
      </c>
    </row>
    <row r="130" customFormat="false" ht="15" hidden="false" customHeight="false" outlineLevel="0" collapsed="false">
      <c r="A130" s="16"/>
      <c r="B130" s="17"/>
      <c r="C130" s="18"/>
      <c r="D130" s="18"/>
      <c r="E130" s="19" t="str">
        <f aca="false">IF(OR(C130="",D130=""),"",IF(D130&lt;=C130,"Check times",ROUND((D130-C130)*24,2)))</f>
        <v/>
      </c>
      <c r="F130" s="20" t="str">
        <f aca="false">IF(A130="","",A130-WEEKDAY(A130,3))</f>
        <v/>
      </c>
      <c r="G130" s="21"/>
      <c r="H130" s="19" t="str">
        <f aca="false">IF(OR(B130="",NOT(ISNUMBER(E130))),"",SUMIFS($E$6:$E$505,$B$6:$B$505,B130,$F$6:$F$505,F130,$A$6:$A$505,"&lt;="&amp;A130))</f>
        <v/>
      </c>
      <c r="I130" s="19" t="str">
        <f aca="false">IF(H130="","",MAX(0,Setup!$B$5-H130))</f>
        <v/>
      </c>
    </row>
    <row r="131" customFormat="false" ht="15" hidden="false" customHeight="false" outlineLevel="0" collapsed="false">
      <c r="A131" s="16"/>
      <c r="B131" s="17"/>
      <c r="C131" s="18"/>
      <c r="D131" s="18"/>
      <c r="E131" s="19" t="str">
        <f aca="false">IF(OR(C131="",D131=""),"",IF(D131&lt;=C131,"Check times",ROUND((D131-C131)*24,2)))</f>
        <v/>
      </c>
      <c r="F131" s="20" t="str">
        <f aca="false">IF(A131="","",A131-WEEKDAY(A131,3))</f>
        <v/>
      </c>
      <c r="G131" s="21"/>
      <c r="H131" s="19" t="str">
        <f aca="false">IF(OR(B131="",NOT(ISNUMBER(E131))),"",SUMIFS($E$6:$E$505,$B$6:$B$505,B131,$F$6:$F$505,F131,$A$6:$A$505,"&lt;="&amp;A131))</f>
        <v/>
      </c>
      <c r="I131" s="19" t="str">
        <f aca="false">IF(H131="","",MAX(0,Setup!$B$5-H131))</f>
        <v/>
      </c>
    </row>
    <row r="132" customFormat="false" ht="15" hidden="false" customHeight="false" outlineLevel="0" collapsed="false">
      <c r="A132" s="16"/>
      <c r="B132" s="17"/>
      <c r="C132" s="18"/>
      <c r="D132" s="18"/>
      <c r="E132" s="19" t="str">
        <f aca="false">IF(OR(C132="",D132=""),"",IF(D132&lt;=C132,"Check times",ROUND((D132-C132)*24,2)))</f>
        <v/>
      </c>
      <c r="F132" s="20" t="str">
        <f aca="false">IF(A132="","",A132-WEEKDAY(A132,3))</f>
        <v/>
      </c>
      <c r="G132" s="21"/>
      <c r="H132" s="19" t="str">
        <f aca="false">IF(OR(B132="",NOT(ISNUMBER(E132))),"",SUMIFS($E$6:$E$505,$B$6:$B$505,B132,$F$6:$F$505,F132,$A$6:$A$505,"&lt;="&amp;A132))</f>
        <v/>
      </c>
      <c r="I132" s="19" t="str">
        <f aca="false">IF(H132="","",MAX(0,Setup!$B$5-H132))</f>
        <v/>
      </c>
    </row>
    <row r="133" customFormat="false" ht="15" hidden="false" customHeight="false" outlineLevel="0" collapsed="false">
      <c r="A133" s="16"/>
      <c r="B133" s="17"/>
      <c r="C133" s="18"/>
      <c r="D133" s="18"/>
      <c r="E133" s="19" t="str">
        <f aca="false">IF(OR(C133="",D133=""),"",IF(D133&lt;=C133,"Check times",ROUND((D133-C133)*24,2)))</f>
        <v/>
      </c>
      <c r="F133" s="20" t="str">
        <f aca="false">IF(A133="","",A133-WEEKDAY(A133,3))</f>
        <v/>
      </c>
      <c r="G133" s="21"/>
      <c r="H133" s="19" t="str">
        <f aca="false">IF(OR(B133="",NOT(ISNUMBER(E133))),"",SUMIFS($E$6:$E$505,$B$6:$B$505,B133,$F$6:$F$505,F133,$A$6:$A$505,"&lt;="&amp;A133))</f>
        <v/>
      </c>
      <c r="I133" s="19" t="str">
        <f aca="false">IF(H133="","",MAX(0,Setup!$B$5-H133))</f>
        <v/>
      </c>
    </row>
    <row r="134" customFormat="false" ht="15" hidden="false" customHeight="false" outlineLevel="0" collapsed="false">
      <c r="A134" s="16"/>
      <c r="B134" s="17"/>
      <c r="C134" s="18"/>
      <c r="D134" s="18"/>
      <c r="E134" s="19" t="str">
        <f aca="false">IF(OR(C134="",D134=""),"",IF(D134&lt;=C134,"Check times",ROUND((D134-C134)*24,2)))</f>
        <v/>
      </c>
      <c r="F134" s="20" t="str">
        <f aca="false">IF(A134="","",A134-WEEKDAY(A134,3))</f>
        <v/>
      </c>
      <c r="G134" s="21"/>
      <c r="H134" s="19" t="str">
        <f aca="false">IF(OR(B134="",NOT(ISNUMBER(E134))),"",SUMIFS($E$6:$E$505,$B$6:$B$505,B134,$F$6:$F$505,F134,$A$6:$A$505,"&lt;="&amp;A134))</f>
        <v/>
      </c>
      <c r="I134" s="19" t="str">
        <f aca="false">IF(H134="","",MAX(0,Setup!$B$5-H134))</f>
        <v/>
      </c>
    </row>
    <row r="135" customFormat="false" ht="15" hidden="false" customHeight="false" outlineLevel="0" collapsed="false">
      <c r="A135" s="16"/>
      <c r="B135" s="17"/>
      <c r="C135" s="18"/>
      <c r="D135" s="18"/>
      <c r="E135" s="19" t="str">
        <f aca="false">IF(OR(C135="",D135=""),"",IF(D135&lt;=C135,"Check times",ROUND((D135-C135)*24,2)))</f>
        <v/>
      </c>
      <c r="F135" s="20" t="str">
        <f aca="false">IF(A135="","",A135-WEEKDAY(A135,3))</f>
        <v/>
      </c>
      <c r="G135" s="21"/>
      <c r="H135" s="19" t="str">
        <f aca="false">IF(OR(B135="",NOT(ISNUMBER(E135))),"",SUMIFS($E$6:$E$505,$B$6:$B$505,B135,$F$6:$F$505,F135,$A$6:$A$505,"&lt;="&amp;A135))</f>
        <v/>
      </c>
      <c r="I135" s="19" t="str">
        <f aca="false">IF(H135="","",MAX(0,Setup!$B$5-H135))</f>
        <v/>
      </c>
    </row>
    <row r="136" customFormat="false" ht="15" hidden="false" customHeight="false" outlineLevel="0" collapsed="false">
      <c r="A136" s="16"/>
      <c r="B136" s="17"/>
      <c r="C136" s="18"/>
      <c r="D136" s="18"/>
      <c r="E136" s="19" t="str">
        <f aca="false">IF(OR(C136="",D136=""),"",IF(D136&lt;=C136,"Check times",ROUND((D136-C136)*24,2)))</f>
        <v/>
      </c>
      <c r="F136" s="20" t="str">
        <f aca="false">IF(A136="","",A136-WEEKDAY(A136,3))</f>
        <v/>
      </c>
      <c r="G136" s="21"/>
      <c r="H136" s="19" t="str">
        <f aca="false">IF(OR(B136="",NOT(ISNUMBER(E136))),"",SUMIFS($E$6:$E$505,$B$6:$B$505,B136,$F$6:$F$505,F136,$A$6:$A$505,"&lt;="&amp;A136))</f>
        <v/>
      </c>
      <c r="I136" s="19" t="str">
        <f aca="false">IF(H136="","",MAX(0,Setup!$B$5-H136))</f>
        <v/>
      </c>
    </row>
    <row r="137" customFormat="false" ht="15" hidden="false" customHeight="false" outlineLevel="0" collapsed="false">
      <c r="A137" s="16"/>
      <c r="B137" s="17"/>
      <c r="C137" s="18"/>
      <c r="D137" s="18"/>
      <c r="E137" s="19" t="str">
        <f aca="false">IF(OR(C137="",D137=""),"",IF(D137&lt;=C137,"Check times",ROUND((D137-C137)*24,2)))</f>
        <v/>
      </c>
      <c r="F137" s="20" t="str">
        <f aca="false">IF(A137="","",A137-WEEKDAY(A137,3))</f>
        <v/>
      </c>
      <c r="G137" s="21"/>
      <c r="H137" s="19" t="str">
        <f aca="false">IF(OR(B137="",NOT(ISNUMBER(E137))),"",SUMIFS($E$6:$E$505,$B$6:$B$505,B137,$F$6:$F$505,F137,$A$6:$A$505,"&lt;="&amp;A137))</f>
        <v/>
      </c>
      <c r="I137" s="19" t="str">
        <f aca="false">IF(H137="","",MAX(0,Setup!$B$5-H137))</f>
        <v/>
      </c>
    </row>
    <row r="138" customFormat="false" ht="15" hidden="false" customHeight="false" outlineLevel="0" collapsed="false">
      <c r="A138" s="16"/>
      <c r="B138" s="17"/>
      <c r="C138" s="18"/>
      <c r="D138" s="18"/>
      <c r="E138" s="19" t="str">
        <f aca="false">IF(OR(C138="",D138=""),"",IF(D138&lt;=C138,"Check times",ROUND((D138-C138)*24,2)))</f>
        <v/>
      </c>
      <c r="F138" s="20" t="str">
        <f aca="false">IF(A138="","",A138-WEEKDAY(A138,3))</f>
        <v/>
      </c>
      <c r="G138" s="21"/>
      <c r="H138" s="19" t="str">
        <f aca="false">IF(OR(B138="",NOT(ISNUMBER(E138))),"",SUMIFS($E$6:$E$505,$B$6:$B$505,B138,$F$6:$F$505,F138,$A$6:$A$505,"&lt;="&amp;A138))</f>
        <v/>
      </c>
      <c r="I138" s="19" t="str">
        <f aca="false">IF(H138="","",MAX(0,Setup!$B$5-H138))</f>
        <v/>
      </c>
    </row>
    <row r="139" customFormat="false" ht="15" hidden="false" customHeight="false" outlineLevel="0" collapsed="false">
      <c r="A139" s="16"/>
      <c r="B139" s="17"/>
      <c r="C139" s="18"/>
      <c r="D139" s="18"/>
      <c r="E139" s="19" t="str">
        <f aca="false">IF(OR(C139="",D139=""),"",IF(D139&lt;=C139,"Check times",ROUND((D139-C139)*24,2)))</f>
        <v/>
      </c>
      <c r="F139" s="20" t="str">
        <f aca="false">IF(A139="","",A139-WEEKDAY(A139,3))</f>
        <v/>
      </c>
      <c r="G139" s="21"/>
      <c r="H139" s="19" t="str">
        <f aca="false">IF(OR(B139="",NOT(ISNUMBER(E139))),"",SUMIFS($E$6:$E$505,$B$6:$B$505,B139,$F$6:$F$505,F139,$A$6:$A$505,"&lt;="&amp;A139))</f>
        <v/>
      </c>
      <c r="I139" s="19" t="str">
        <f aca="false">IF(H139="","",MAX(0,Setup!$B$5-H139))</f>
        <v/>
      </c>
    </row>
    <row r="140" customFormat="false" ht="15" hidden="false" customHeight="false" outlineLevel="0" collapsed="false">
      <c r="A140" s="16"/>
      <c r="B140" s="17"/>
      <c r="C140" s="18"/>
      <c r="D140" s="18"/>
      <c r="E140" s="19" t="str">
        <f aca="false">IF(OR(C140="",D140=""),"",IF(D140&lt;=C140,"Check times",ROUND((D140-C140)*24,2)))</f>
        <v/>
      </c>
      <c r="F140" s="20" t="str">
        <f aca="false">IF(A140="","",A140-WEEKDAY(A140,3))</f>
        <v/>
      </c>
      <c r="G140" s="21"/>
      <c r="H140" s="19" t="str">
        <f aca="false">IF(OR(B140="",NOT(ISNUMBER(E140))),"",SUMIFS($E$6:$E$505,$B$6:$B$505,B140,$F$6:$F$505,F140,$A$6:$A$505,"&lt;="&amp;A140))</f>
        <v/>
      </c>
      <c r="I140" s="19" t="str">
        <f aca="false">IF(H140="","",MAX(0,Setup!$B$5-H140))</f>
        <v/>
      </c>
    </row>
    <row r="141" customFormat="false" ht="15" hidden="false" customHeight="false" outlineLevel="0" collapsed="false">
      <c r="A141" s="16"/>
      <c r="B141" s="17"/>
      <c r="C141" s="18"/>
      <c r="D141" s="18"/>
      <c r="E141" s="19" t="str">
        <f aca="false">IF(OR(C141="",D141=""),"",IF(D141&lt;=C141,"Check times",ROUND((D141-C141)*24,2)))</f>
        <v/>
      </c>
      <c r="F141" s="20" t="str">
        <f aca="false">IF(A141="","",A141-WEEKDAY(A141,3))</f>
        <v/>
      </c>
      <c r="G141" s="21"/>
      <c r="H141" s="19" t="str">
        <f aca="false">IF(OR(B141="",NOT(ISNUMBER(E141))),"",SUMIFS($E$6:$E$505,$B$6:$B$505,B141,$F$6:$F$505,F141,$A$6:$A$505,"&lt;="&amp;A141))</f>
        <v/>
      </c>
      <c r="I141" s="19" t="str">
        <f aca="false">IF(H141="","",MAX(0,Setup!$B$5-H141))</f>
        <v/>
      </c>
    </row>
    <row r="142" customFormat="false" ht="15" hidden="false" customHeight="false" outlineLevel="0" collapsed="false">
      <c r="A142" s="16"/>
      <c r="B142" s="17"/>
      <c r="C142" s="18"/>
      <c r="D142" s="18"/>
      <c r="E142" s="19" t="str">
        <f aca="false">IF(OR(C142="",D142=""),"",IF(D142&lt;=C142,"Check times",ROUND((D142-C142)*24,2)))</f>
        <v/>
      </c>
      <c r="F142" s="20" t="str">
        <f aca="false">IF(A142="","",A142-WEEKDAY(A142,3))</f>
        <v/>
      </c>
      <c r="G142" s="21"/>
      <c r="H142" s="19" t="str">
        <f aca="false">IF(OR(B142="",NOT(ISNUMBER(E142))),"",SUMIFS($E$6:$E$505,$B$6:$B$505,B142,$F$6:$F$505,F142,$A$6:$A$505,"&lt;="&amp;A142))</f>
        <v/>
      </c>
      <c r="I142" s="19" t="str">
        <f aca="false">IF(H142="","",MAX(0,Setup!$B$5-H142))</f>
        <v/>
      </c>
    </row>
    <row r="143" customFormat="false" ht="15" hidden="false" customHeight="false" outlineLevel="0" collapsed="false">
      <c r="A143" s="16"/>
      <c r="B143" s="17"/>
      <c r="C143" s="18"/>
      <c r="D143" s="18"/>
      <c r="E143" s="19" t="str">
        <f aca="false">IF(OR(C143="",D143=""),"",IF(D143&lt;=C143,"Check times",ROUND((D143-C143)*24,2)))</f>
        <v/>
      </c>
      <c r="F143" s="20" t="str">
        <f aca="false">IF(A143="","",A143-WEEKDAY(A143,3))</f>
        <v/>
      </c>
      <c r="G143" s="21"/>
      <c r="H143" s="19" t="str">
        <f aca="false">IF(OR(B143="",NOT(ISNUMBER(E143))),"",SUMIFS($E$6:$E$505,$B$6:$B$505,B143,$F$6:$F$505,F143,$A$6:$A$505,"&lt;="&amp;A143))</f>
        <v/>
      </c>
      <c r="I143" s="19" t="str">
        <f aca="false">IF(H143="","",MAX(0,Setup!$B$5-H143))</f>
        <v/>
      </c>
    </row>
    <row r="144" customFormat="false" ht="15" hidden="false" customHeight="false" outlineLevel="0" collapsed="false">
      <c r="A144" s="16"/>
      <c r="B144" s="17"/>
      <c r="C144" s="18"/>
      <c r="D144" s="18"/>
      <c r="E144" s="19" t="str">
        <f aca="false">IF(OR(C144="",D144=""),"",IF(D144&lt;=C144,"Check times",ROUND((D144-C144)*24,2)))</f>
        <v/>
      </c>
      <c r="F144" s="20" t="str">
        <f aca="false">IF(A144="","",A144-WEEKDAY(A144,3))</f>
        <v/>
      </c>
      <c r="G144" s="21"/>
      <c r="H144" s="19" t="str">
        <f aca="false">IF(OR(B144="",NOT(ISNUMBER(E144))),"",SUMIFS($E$6:$E$505,$B$6:$B$505,B144,$F$6:$F$505,F144,$A$6:$A$505,"&lt;="&amp;A144))</f>
        <v/>
      </c>
      <c r="I144" s="19" t="str">
        <f aca="false">IF(H144="","",MAX(0,Setup!$B$5-H144))</f>
        <v/>
      </c>
    </row>
    <row r="145" customFormat="false" ht="15" hidden="false" customHeight="false" outlineLevel="0" collapsed="false">
      <c r="A145" s="16"/>
      <c r="B145" s="17"/>
      <c r="C145" s="18"/>
      <c r="D145" s="18"/>
      <c r="E145" s="19" t="str">
        <f aca="false">IF(OR(C145="",D145=""),"",IF(D145&lt;=C145,"Check times",ROUND((D145-C145)*24,2)))</f>
        <v/>
      </c>
      <c r="F145" s="20" t="str">
        <f aca="false">IF(A145="","",A145-WEEKDAY(A145,3))</f>
        <v/>
      </c>
      <c r="G145" s="21"/>
      <c r="H145" s="19" t="str">
        <f aca="false">IF(OR(B145="",NOT(ISNUMBER(E145))),"",SUMIFS($E$6:$E$505,$B$6:$B$505,B145,$F$6:$F$505,F145,$A$6:$A$505,"&lt;="&amp;A145))</f>
        <v/>
      </c>
      <c r="I145" s="19" t="str">
        <f aca="false">IF(H145="","",MAX(0,Setup!$B$5-H145))</f>
        <v/>
      </c>
    </row>
    <row r="146" customFormat="false" ht="15" hidden="false" customHeight="false" outlineLevel="0" collapsed="false">
      <c r="A146" s="16"/>
      <c r="B146" s="17"/>
      <c r="C146" s="18"/>
      <c r="D146" s="18"/>
      <c r="E146" s="19" t="str">
        <f aca="false">IF(OR(C146="",D146=""),"",IF(D146&lt;=C146,"Check times",ROUND((D146-C146)*24,2)))</f>
        <v/>
      </c>
      <c r="F146" s="20" t="str">
        <f aca="false">IF(A146="","",A146-WEEKDAY(A146,3))</f>
        <v/>
      </c>
      <c r="G146" s="21"/>
      <c r="H146" s="19" t="str">
        <f aca="false">IF(OR(B146="",NOT(ISNUMBER(E146))),"",SUMIFS($E$6:$E$505,$B$6:$B$505,B146,$F$6:$F$505,F146,$A$6:$A$505,"&lt;="&amp;A146))</f>
        <v/>
      </c>
      <c r="I146" s="19" t="str">
        <f aca="false">IF(H146="","",MAX(0,Setup!$B$5-H146))</f>
        <v/>
      </c>
    </row>
    <row r="147" customFormat="false" ht="15" hidden="false" customHeight="false" outlineLevel="0" collapsed="false">
      <c r="A147" s="16"/>
      <c r="B147" s="17"/>
      <c r="C147" s="18"/>
      <c r="D147" s="18"/>
      <c r="E147" s="19" t="str">
        <f aca="false">IF(OR(C147="",D147=""),"",IF(D147&lt;=C147,"Check times",ROUND((D147-C147)*24,2)))</f>
        <v/>
      </c>
      <c r="F147" s="20" t="str">
        <f aca="false">IF(A147="","",A147-WEEKDAY(A147,3))</f>
        <v/>
      </c>
      <c r="G147" s="21"/>
      <c r="H147" s="19" t="str">
        <f aca="false">IF(OR(B147="",NOT(ISNUMBER(E147))),"",SUMIFS($E$6:$E$505,$B$6:$B$505,B147,$F$6:$F$505,F147,$A$6:$A$505,"&lt;="&amp;A147))</f>
        <v/>
      </c>
      <c r="I147" s="19" t="str">
        <f aca="false">IF(H147="","",MAX(0,Setup!$B$5-H147))</f>
        <v/>
      </c>
    </row>
    <row r="148" customFormat="false" ht="15" hidden="false" customHeight="false" outlineLevel="0" collapsed="false">
      <c r="A148" s="16"/>
      <c r="B148" s="17"/>
      <c r="C148" s="18"/>
      <c r="D148" s="18"/>
      <c r="E148" s="19" t="str">
        <f aca="false">IF(OR(C148="",D148=""),"",IF(D148&lt;=C148,"Check times",ROUND((D148-C148)*24,2)))</f>
        <v/>
      </c>
      <c r="F148" s="20" t="str">
        <f aca="false">IF(A148="","",A148-WEEKDAY(A148,3))</f>
        <v/>
      </c>
      <c r="G148" s="21"/>
      <c r="H148" s="19" t="str">
        <f aca="false">IF(OR(B148="",NOT(ISNUMBER(E148))),"",SUMIFS($E$6:$E$505,$B$6:$B$505,B148,$F$6:$F$505,F148,$A$6:$A$505,"&lt;="&amp;A148))</f>
        <v/>
      </c>
      <c r="I148" s="19" t="str">
        <f aca="false">IF(H148="","",MAX(0,Setup!$B$5-H148))</f>
        <v/>
      </c>
    </row>
    <row r="149" customFormat="false" ht="15" hidden="false" customHeight="false" outlineLevel="0" collapsed="false">
      <c r="A149" s="16"/>
      <c r="B149" s="17"/>
      <c r="C149" s="18"/>
      <c r="D149" s="18"/>
      <c r="E149" s="19" t="str">
        <f aca="false">IF(OR(C149="",D149=""),"",IF(D149&lt;=C149,"Check times",ROUND((D149-C149)*24,2)))</f>
        <v/>
      </c>
      <c r="F149" s="20" t="str">
        <f aca="false">IF(A149="","",A149-WEEKDAY(A149,3))</f>
        <v/>
      </c>
      <c r="G149" s="21"/>
      <c r="H149" s="19" t="str">
        <f aca="false">IF(OR(B149="",NOT(ISNUMBER(E149))),"",SUMIFS($E$6:$E$505,$B$6:$B$505,B149,$F$6:$F$505,F149,$A$6:$A$505,"&lt;="&amp;A149))</f>
        <v/>
      </c>
      <c r="I149" s="19" t="str">
        <f aca="false">IF(H149="","",MAX(0,Setup!$B$5-H149))</f>
        <v/>
      </c>
    </row>
    <row r="150" customFormat="false" ht="15" hidden="false" customHeight="false" outlineLevel="0" collapsed="false">
      <c r="A150" s="16"/>
      <c r="B150" s="17"/>
      <c r="C150" s="18"/>
      <c r="D150" s="18"/>
      <c r="E150" s="19" t="str">
        <f aca="false">IF(OR(C150="",D150=""),"",IF(D150&lt;=C150,"Check times",ROUND((D150-C150)*24,2)))</f>
        <v/>
      </c>
      <c r="F150" s="20" t="str">
        <f aca="false">IF(A150="","",A150-WEEKDAY(A150,3))</f>
        <v/>
      </c>
      <c r="G150" s="21"/>
      <c r="H150" s="19" t="str">
        <f aca="false">IF(OR(B150="",NOT(ISNUMBER(E150))),"",SUMIFS($E$6:$E$505,$B$6:$B$505,B150,$F$6:$F$505,F150,$A$6:$A$505,"&lt;="&amp;A150))</f>
        <v/>
      </c>
      <c r="I150" s="19" t="str">
        <f aca="false">IF(H150="","",MAX(0,Setup!$B$5-H150))</f>
        <v/>
      </c>
    </row>
    <row r="151" customFormat="false" ht="15" hidden="false" customHeight="false" outlineLevel="0" collapsed="false">
      <c r="A151" s="16"/>
      <c r="B151" s="17"/>
      <c r="C151" s="18"/>
      <c r="D151" s="18"/>
      <c r="E151" s="19" t="str">
        <f aca="false">IF(OR(C151="",D151=""),"",IF(D151&lt;=C151,"Check times",ROUND((D151-C151)*24,2)))</f>
        <v/>
      </c>
      <c r="F151" s="20" t="str">
        <f aca="false">IF(A151="","",A151-WEEKDAY(A151,3))</f>
        <v/>
      </c>
      <c r="G151" s="21"/>
      <c r="H151" s="19" t="str">
        <f aca="false">IF(OR(B151="",NOT(ISNUMBER(E151))),"",SUMIFS($E$6:$E$505,$B$6:$B$505,B151,$F$6:$F$505,F151,$A$6:$A$505,"&lt;="&amp;A151))</f>
        <v/>
      </c>
      <c r="I151" s="19" t="str">
        <f aca="false">IF(H151="","",MAX(0,Setup!$B$5-H151))</f>
        <v/>
      </c>
    </row>
    <row r="152" customFormat="false" ht="15" hidden="false" customHeight="false" outlineLevel="0" collapsed="false">
      <c r="A152" s="16"/>
      <c r="B152" s="17"/>
      <c r="C152" s="18"/>
      <c r="D152" s="18"/>
      <c r="E152" s="19" t="str">
        <f aca="false">IF(OR(C152="",D152=""),"",IF(D152&lt;=C152,"Check times",ROUND((D152-C152)*24,2)))</f>
        <v/>
      </c>
      <c r="F152" s="20" t="str">
        <f aca="false">IF(A152="","",A152-WEEKDAY(A152,3))</f>
        <v/>
      </c>
      <c r="G152" s="21"/>
      <c r="H152" s="19" t="str">
        <f aca="false">IF(OR(B152="",NOT(ISNUMBER(E152))),"",SUMIFS($E$6:$E$505,$B$6:$B$505,B152,$F$6:$F$505,F152,$A$6:$A$505,"&lt;="&amp;A152))</f>
        <v/>
      </c>
      <c r="I152" s="19" t="str">
        <f aca="false">IF(H152="","",MAX(0,Setup!$B$5-H152))</f>
        <v/>
      </c>
    </row>
    <row r="153" customFormat="false" ht="15" hidden="false" customHeight="false" outlineLevel="0" collapsed="false">
      <c r="A153" s="16"/>
      <c r="B153" s="17"/>
      <c r="C153" s="18"/>
      <c r="D153" s="18"/>
      <c r="E153" s="19" t="str">
        <f aca="false">IF(OR(C153="",D153=""),"",IF(D153&lt;=C153,"Check times",ROUND((D153-C153)*24,2)))</f>
        <v/>
      </c>
      <c r="F153" s="20" t="str">
        <f aca="false">IF(A153="","",A153-WEEKDAY(A153,3))</f>
        <v/>
      </c>
      <c r="G153" s="21"/>
      <c r="H153" s="19" t="str">
        <f aca="false">IF(OR(B153="",NOT(ISNUMBER(E153))),"",SUMIFS($E$6:$E$505,$B$6:$B$505,B153,$F$6:$F$505,F153,$A$6:$A$505,"&lt;="&amp;A153))</f>
        <v/>
      </c>
      <c r="I153" s="19" t="str">
        <f aca="false">IF(H153="","",MAX(0,Setup!$B$5-H153))</f>
        <v/>
      </c>
    </row>
    <row r="154" customFormat="false" ht="15" hidden="false" customHeight="false" outlineLevel="0" collapsed="false">
      <c r="A154" s="16"/>
      <c r="B154" s="17"/>
      <c r="C154" s="18"/>
      <c r="D154" s="18"/>
      <c r="E154" s="19" t="str">
        <f aca="false">IF(OR(C154="",D154=""),"",IF(D154&lt;=C154,"Check times",ROUND((D154-C154)*24,2)))</f>
        <v/>
      </c>
      <c r="F154" s="20" t="str">
        <f aca="false">IF(A154="","",A154-WEEKDAY(A154,3))</f>
        <v/>
      </c>
      <c r="G154" s="21"/>
      <c r="H154" s="19" t="str">
        <f aca="false">IF(OR(B154="",NOT(ISNUMBER(E154))),"",SUMIFS($E$6:$E$505,$B$6:$B$505,B154,$F$6:$F$505,F154,$A$6:$A$505,"&lt;="&amp;A154))</f>
        <v/>
      </c>
      <c r="I154" s="19" t="str">
        <f aca="false">IF(H154="","",MAX(0,Setup!$B$5-H154))</f>
        <v/>
      </c>
    </row>
    <row r="155" customFormat="false" ht="15" hidden="false" customHeight="false" outlineLevel="0" collapsed="false">
      <c r="A155" s="16"/>
      <c r="B155" s="17"/>
      <c r="C155" s="18"/>
      <c r="D155" s="18"/>
      <c r="E155" s="19" t="str">
        <f aca="false">IF(OR(C155="",D155=""),"",IF(D155&lt;=C155,"Check times",ROUND((D155-C155)*24,2)))</f>
        <v/>
      </c>
      <c r="F155" s="20" t="str">
        <f aca="false">IF(A155="","",A155-WEEKDAY(A155,3))</f>
        <v/>
      </c>
      <c r="G155" s="21"/>
      <c r="H155" s="19" t="str">
        <f aca="false">IF(OR(B155="",NOT(ISNUMBER(E155))),"",SUMIFS($E$6:$E$505,$B$6:$B$505,B155,$F$6:$F$505,F155,$A$6:$A$505,"&lt;="&amp;A155))</f>
        <v/>
      </c>
      <c r="I155" s="19" t="str">
        <f aca="false">IF(H155="","",MAX(0,Setup!$B$5-H155))</f>
        <v/>
      </c>
    </row>
    <row r="156" customFormat="false" ht="15" hidden="false" customHeight="false" outlineLevel="0" collapsed="false">
      <c r="A156" s="16"/>
      <c r="B156" s="17"/>
      <c r="C156" s="18"/>
      <c r="D156" s="18"/>
      <c r="E156" s="19" t="str">
        <f aca="false">IF(OR(C156="",D156=""),"",IF(D156&lt;=C156,"Check times",ROUND((D156-C156)*24,2)))</f>
        <v/>
      </c>
      <c r="F156" s="20" t="str">
        <f aca="false">IF(A156="","",A156-WEEKDAY(A156,3))</f>
        <v/>
      </c>
      <c r="G156" s="21"/>
      <c r="H156" s="19" t="str">
        <f aca="false">IF(OR(B156="",NOT(ISNUMBER(E156))),"",SUMIFS($E$6:$E$505,$B$6:$B$505,B156,$F$6:$F$505,F156,$A$6:$A$505,"&lt;="&amp;A156))</f>
        <v/>
      </c>
      <c r="I156" s="19" t="str">
        <f aca="false">IF(H156="","",MAX(0,Setup!$B$5-H156))</f>
        <v/>
      </c>
    </row>
    <row r="157" customFormat="false" ht="15" hidden="false" customHeight="false" outlineLevel="0" collapsed="false">
      <c r="A157" s="16"/>
      <c r="B157" s="17"/>
      <c r="C157" s="18"/>
      <c r="D157" s="18"/>
      <c r="E157" s="19" t="str">
        <f aca="false">IF(OR(C157="",D157=""),"",IF(D157&lt;=C157,"Check times",ROUND((D157-C157)*24,2)))</f>
        <v/>
      </c>
      <c r="F157" s="20" t="str">
        <f aca="false">IF(A157="","",A157-WEEKDAY(A157,3))</f>
        <v/>
      </c>
      <c r="G157" s="21"/>
      <c r="H157" s="19" t="str">
        <f aca="false">IF(OR(B157="",NOT(ISNUMBER(E157))),"",SUMIFS($E$6:$E$505,$B$6:$B$505,B157,$F$6:$F$505,F157,$A$6:$A$505,"&lt;="&amp;A157))</f>
        <v/>
      </c>
      <c r="I157" s="19" t="str">
        <f aca="false">IF(H157="","",MAX(0,Setup!$B$5-H157))</f>
        <v/>
      </c>
    </row>
    <row r="158" customFormat="false" ht="15" hidden="false" customHeight="false" outlineLevel="0" collapsed="false">
      <c r="A158" s="16"/>
      <c r="B158" s="17"/>
      <c r="C158" s="18"/>
      <c r="D158" s="18"/>
      <c r="E158" s="19" t="str">
        <f aca="false">IF(OR(C158="",D158=""),"",IF(D158&lt;=C158,"Check times",ROUND((D158-C158)*24,2)))</f>
        <v/>
      </c>
      <c r="F158" s="20" t="str">
        <f aca="false">IF(A158="","",A158-WEEKDAY(A158,3))</f>
        <v/>
      </c>
      <c r="G158" s="21"/>
      <c r="H158" s="19" t="str">
        <f aca="false">IF(OR(B158="",NOT(ISNUMBER(E158))),"",SUMIFS($E$6:$E$505,$B$6:$B$505,B158,$F$6:$F$505,F158,$A$6:$A$505,"&lt;="&amp;A158))</f>
        <v/>
      </c>
      <c r="I158" s="19" t="str">
        <f aca="false">IF(H158="","",MAX(0,Setup!$B$5-H158))</f>
        <v/>
      </c>
    </row>
    <row r="159" customFormat="false" ht="15" hidden="false" customHeight="false" outlineLevel="0" collapsed="false">
      <c r="A159" s="16"/>
      <c r="B159" s="17"/>
      <c r="C159" s="18"/>
      <c r="D159" s="18"/>
      <c r="E159" s="19" t="str">
        <f aca="false">IF(OR(C159="",D159=""),"",IF(D159&lt;=C159,"Check times",ROUND((D159-C159)*24,2)))</f>
        <v/>
      </c>
      <c r="F159" s="20" t="str">
        <f aca="false">IF(A159="","",A159-WEEKDAY(A159,3))</f>
        <v/>
      </c>
      <c r="G159" s="21"/>
      <c r="H159" s="19" t="str">
        <f aca="false">IF(OR(B159="",NOT(ISNUMBER(E159))),"",SUMIFS($E$6:$E$505,$B$6:$B$505,B159,$F$6:$F$505,F159,$A$6:$A$505,"&lt;="&amp;A159))</f>
        <v/>
      </c>
      <c r="I159" s="19" t="str">
        <f aca="false">IF(H159="","",MAX(0,Setup!$B$5-H159))</f>
        <v/>
      </c>
    </row>
    <row r="160" customFormat="false" ht="15" hidden="false" customHeight="false" outlineLevel="0" collapsed="false">
      <c r="A160" s="16"/>
      <c r="B160" s="17"/>
      <c r="C160" s="18"/>
      <c r="D160" s="18"/>
      <c r="E160" s="19" t="str">
        <f aca="false">IF(OR(C160="",D160=""),"",IF(D160&lt;=C160,"Check times",ROUND((D160-C160)*24,2)))</f>
        <v/>
      </c>
      <c r="F160" s="20" t="str">
        <f aca="false">IF(A160="","",A160-WEEKDAY(A160,3))</f>
        <v/>
      </c>
      <c r="G160" s="21"/>
      <c r="H160" s="19" t="str">
        <f aca="false">IF(OR(B160="",NOT(ISNUMBER(E160))),"",SUMIFS($E$6:$E$505,$B$6:$B$505,B160,$F$6:$F$505,F160,$A$6:$A$505,"&lt;="&amp;A160))</f>
        <v/>
      </c>
      <c r="I160" s="19" t="str">
        <f aca="false">IF(H160="","",MAX(0,Setup!$B$5-H160))</f>
        <v/>
      </c>
    </row>
    <row r="161" customFormat="false" ht="15" hidden="false" customHeight="false" outlineLevel="0" collapsed="false">
      <c r="A161" s="16"/>
      <c r="B161" s="17"/>
      <c r="C161" s="18"/>
      <c r="D161" s="18"/>
      <c r="E161" s="19" t="str">
        <f aca="false">IF(OR(C161="",D161=""),"",IF(D161&lt;=C161,"Check times",ROUND((D161-C161)*24,2)))</f>
        <v/>
      </c>
      <c r="F161" s="20" t="str">
        <f aca="false">IF(A161="","",A161-WEEKDAY(A161,3))</f>
        <v/>
      </c>
      <c r="G161" s="21"/>
      <c r="H161" s="19" t="str">
        <f aca="false">IF(OR(B161="",NOT(ISNUMBER(E161))),"",SUMIFS($E$6:$E$505,$B$6:$B$505,B161,$F$6:$F$505,F161,$A$6:$A$505,"&lt;="&amp;A161))</f>
        <v/>
      </c>
      <c r="I161" s="19" t="str">
        <f aca="false">IF(H161="","",MAX(0,Setup!$B$5-H161))</f>
        <v/>
      </c>
    </row>
    <row r="162" customFormat="false" ht="15" hidden="false" customHeight="false" outlineLevel="0" collapsed="false">
      <c r="A162" s="16"/>
      <c r="B162" s="17"/>
      <c r="C162" s="18"/>
      <c r="D162" s="18"/>
      <c r="E162" s="19" t="str">
        <f aca="false">IF(OR(C162="",D162=""),"",IF(D162&lt;=C162,"Check times",ROUND((D162-C162)*24,2)))</f>
        <v/>
      </c>
      <c r="F162" s="20" t="str">
        <f aca="false">IF(A162="","",A162-WEEKDAY(A162,3))</f>
        <v/>
      </c>
      <c r="G162" s="21"/>
      <c r="H162" s="19" t="str">
        <f aca="false">IF(OR(B162="",NOT(ISNUMBER(E162))),"",SUMIFS($E$6:$E$505,$B$6:$B$505,B162,$F$6:$F$505,F162,$A$6:$A$505,"&lt;="&amp;A162))</f>
        <v/>
      </c>
      <c r="I162" s="19" t="str">
        <f aca="false">IF(H162="","",MAX(0,Setup!$B$5-H162))</f>
        <v/>
      </c>
    </row>
    <row r="163" customFormat="false" ht="15" hidden="false" customHeight="false" outlineLevel="0" collapsed="false">
      <c r="A163" s="16"/>
      <c r="B163" s="17"/>
      <c r="C163" s="18"/>
      <c r="D163" s="18"/>
      <c r="E163" s="19" t="str">
        <f aca="false">IF(OR(C163="",D163=""),"",IF(D163&lt;=C163,"Check times",ROUND((D163-C163)*24,2)))</f>
        <v/>
      </c>
      <c r="F163" s="20" t="str">
        <f aca="false">IF(A163="","",A163-WEEKDAY(A163,3))</f>
        <v/>
      </c>
      <c r="G163" s="21"/>
      <c r="H163" s="19" t="str">
        <f aca="false">IF(OR(B163="",NOT(ISNUMBER(E163))),"",SUMIFS($E$6:$E$505,$B$6:$B$505,B163,$F$6:$F$505,F163,$A$6:$A$505,"&lt;="&amp;A163))</f>
        <v/>
      </c>
      <c r="I163" s="19" t="str">
        <f aca="false">IF(H163="","",MAX(0,Setup!$B$5-H163))</f>
        <v/>
      </c>
    </row>
    <row r="164" customFormat="false" ht="15" hidden="false" customHeight="false" outlineLevel="0" collapsed="false">
      <c r="A164" s="16"/>
      <c r="B164" s="17"/>
      <c r="C164" s="18"/>
      <c r="D164" s="18"/>
      <c r="E164" s="19" t="str">
        <f aca="false">IF(OR(C164="",D164=""),"",IF(D164&lt;=C164,"Check times",ROUND((D164-C164)*24,2)))</f>
        <v/>
      </c>
      <c r="F164" s="20" t="str">
        <f aca="false">IF(A164="","",A164-WEEKDAY(A164,3))</f>
        <v/>
      </c>
      <c r="G164" s="21"/>
      <c r="H164" s="19" t="str">
        <f aca="false">IF(OR(B164="",NOT(ISNUMBER(E164))),"",SUMIFS($E$6:$E$505,$B$6:$B$505,B164,$F$6:$F$505,F164,$A$6:$A$505,"&lt;="&amp;A164))</f>
        <v/>
      </c>
      <c r="I164" s="19" t="str">
        <f aca="false">IF(H164="","",MAX(0,Setup!$B$5-H164))</f>
        <v/>
      </c>
    </row>
    <row r="165" customFormat="false" ht="15" hidden="false" customHeight="false" outlineLevel="0" collapsed="false">
      <c r="A165" s="16"/>
      <c r="B165" s="17"/>
      <c r="C165" s="18"/>
      <c r="D165" s="18"/>
      <c r="E165" s="19" t="str">
        <f aca="false">IF(OR(C165="",D165=""),"",IF(D165&lt;=C165,"Check times",ROUND((D165-C165)*24,2)))</f>
        <v/>
      </c>
      <c r="F165" s="20" t="str">
        <f aca="false">IF(A165="","",A165-WEEKDAY(A165,3))</f>
        <v/>
      </c>
      <c r="G165" s="21"/>
      <c r="H165" s="19" t="str">
        <f aca="false">IF(OR(B165="",NOT(ISNUMBER(E165))),"",SUMIFS($E$6:$E$505,$B$6:$B$505,B165,$F$6:$F$505,F165,$A$6:$A$505,"&lt;="&amp;A165))</f>
        <v/>
      </c>
      <c r="I165" s="19" t="str">
        <f aca="false">IF(H165="","",MAX(0,Setup!$B$5-H165))</f>
        <v/>
      </c>
    </row>
    <row r="166" customFormat="false" ht="15" hidden="false" customHeight="false" outlineLevel="0" collapsed="false">
      <c r="A166" s="16"/>
      <c r="B166" s="17"/>
      <c r="C166" s="18"/>
      <c r="D166" s="18"/>
      <c r="E166" s="19" t="str">
        <f aca="false">IF(OR(C166="",D166=""),"",IF(D166&lt;=C166,"Check times",ROUND((D166-C166)*24,2)))</f>
        <v/>
      </c>
      <c r="F166" s="20" t="str">
        <f aca="false">IF(A166="","",A166-WEEKDAY(A166,3))</f>
        <v/>
      </c>
      <c r="G166" s="21"/>
      <c r="H166" s="19" t="str">
        <f aca="false">IF(OR(B166="",NOT(ISNUMBER(E166))),"",SUMIFS($E$6:$E$505,$B$6:$B$505,B166,$F$6:$F$505,F166,$A$6:$A$505,"&lt;="&amp;A166))</f>
        <v/>
      </c>
      <c r="I166" s="19" t="str">
        <f aca="false">IF(H166="","",MAX(0,Setup!$B$5-H166))</f>
        <v/>
      </c>
    </row>
    <row r="167" customFormat="false" ht="15" hidden="false" customHeight="false" outlineLevel="0" collapsed="false">
      <c r="A167" s="16"/>
      <c r="B167" s="17"/>
      <c r="C167" s="18"/>
      <c r="D167" s="18"/>
      <c r="E167" s="19" t="str">
        <f aca="false">IF(OR(C167="",D167=""),"",IF(D167&lt;=C167,"Check times",ROUND((D167-C167)*24,2)))</f>
        <v/>
      </c>
      <c r="F167" s="20" t="str">
        <f aca="false">IF(A167="","",A167-WEEKDAY(A167,3))</f>
        <v/>
      </c>
      <c r="G167" s="21"/>
      <c r="H167" s="19" t="str">
        <f aca="false">IF(OR(B167="",NOT(ISNUMBER(E167))),"",SUMIFS($E$6:$E$505,$B$6:$B$505,B167,$F$6:$F$505,F167,$A$6:$A$505,"&lt;="&amp;A167))</f>
        <v/>
      </c>
      <c r="I167" s="19" t="str">
        <f aca="false">IF(H167="","",MAX(0,Setup!$B$5-H167))</f>
        <v/>
      </c>
    </row>
    <row r="168" customFormat="false" ht="15" hidden="false" customHeight="false" outlineLevel="0" collapsed="false">
      <c r="A168" s="16"/>
      <c r="B168" s="17"/>
      <c r="C168" s="18"/>
      <c r="D168" s="18"/>
      <c r="E168" s="19" t="str">
        <f aca="false">IF(OR(C168="",D168=""),"",IF(D168&lt;=C168,"Check times",ROUND((D168-C168)*24,2)))</f>
        <v/>
      </c>
      <c r="F168" s="20" t="str">
        <f aca="false">IF(A168="","",A168-WEEKDAY(A168,3))</f>
        <v/>
      </c>
      <c r="G168" s="21"/>
      <c r="H168" s="19" t="str">
        <f aca="false">IF(OR(B168="",NOT(ISNUMBER(E168))),"",SUMIFS($E$6:$E$505,$B$6:$B$505,B168,$F$6:$F$505,F168,$A$6:$A$505,"&lt;="&amp;A168))</f>
        <v/>
      </c>
      <c r="I168" s="19" t="str">
        <f aca="false">IF(H168="","",MAX(0,Setup!$B$5-H168))</f>
        <v/>
      </c>
    </row>
    <row r="169" customFormat="false" ht="15" hidden="false" customHeight="false" outlineLevel="0" collapsed="false">
      <c r="A169" s="16"/>
      <c r="B169" s="17"/>
      <c r="C169" s="18"/>
      <c r="D169" s="18"/>
      <c r="E169" s="19" t="str">
        <f aca="false">IF(OR(C169="",D169=""),"",IF(D169&lt;=C169,"Check times",ROUND((D169-C169)*24,2)))</f>
        <v/>
      </c>
      <c r="F169" s="20" t="str">
        <f aca="false">IF(A169="","",A169-WEEKDAY(A169,3))</f>
        <v/>
      </c>
      <c r="G169" s="21"/>
      <c r="H169" s="19" t="str">
        <f aca="false">IF(OR(B169="",NOT(ISNUMBER(E169))),"",SUMIFS($E$6:$E$505,$B$6:$B$505,B169,$F$6:$F$505,F169,$A$6:$A$505,"&lt;="&amp;A169))</f>
        <v/>
      </c>
      <c r="I169" s="19" t="str">
        <f aca="false">IF(H169="","",MAX(0,Setup!$B$5-H169))</f>
        <v/>
      </c>
    </row>
    <row r="170" customFormat="false" ht="15" hidden="false" customHeight="false" outlineLevel="0" collapsed="false">
      <c r="A170" s="16"/>
      <c r="B170" s="17"/>
      <c r="C170" s="18"/>
      <c r="D170" s="18"/>
      <c r="E170" s="19" t="str">
        <f aca="false">IF(OR(C170="",D170=""),"",IF(D170&lt;=C170,"Check times",ROUND((D170-C170)*24,2)))</f>
        <v/>
      </c>
      <c r="F170" s="20" t="str">
        <f aca="false">IF(A170="","",A170-WEEKDAY(A170,3))</f>
        <v/>
      </c>
      <c r="G170" s="21"/>
      <c r="H170" s="19" t="str">
        <f aca="false">IF(OR(B170="",NOT(ISNUMBER(E170))),"",SUMIFS($E$6:$E$505,$B$6:$B$505,B170,$F$6:$F$505,F170,$A$6:$A$505,"&lt;="&amp;A170))</f>
        <v/>
      </c>
      <c r="I170" s="19" t="str">
        <f aca="false">IF(H170="","",MAX(0,Setup!$B$5-H170))</f>
        <v/>
      </c>
    </row>
    <row r="171" customFormat="false" ht="15" hidden="false" customHeight="false" outlineLevel="0" collapsed="false">
      <c r="A171" s="16"/>
      <c r="B171" s="17"/>
      <c r="C171" s="18"/>
      <c r="D171" s="18"/>
      <c r="E171" s="19" t="str">
        <f aca="false">IF(OR(C171="",D171=""),"",IF(D171&lt;=C171,"Check times",ROUND((D171-C171)*24,2)))</f>
        <v/>
      </c>
      <c r="F171" s="20" t="str">
        <f aca="false">IF(A171="","",A171-WEEKDAY(A171,3))</f>
        <v/>
      </c>
      <c r="G171" s="21"/>
      <c r="H171" s="19" t="str">
        <f aca="false">IF(OR(B171="",NOT(ISNUMBER(E171))),"",SUMIFS($E$6:$E$505,$B$6:$B$505,B171,$F$6:$F$505,F171,$A$6:$A$505,"&lt;="&amp;A171))</f>
        <v/>
      </c>
      <c r="I171" s="19" t="str">
        <f aca="false">IF(H171="","",MAX(0,Setup!$B$5-H171))</f>
        <v/>
      </c>
    </row>
    <row r="172" customFormat="false" ht="15" hidden="false" customHeight="false" outlineLevel="0" collapsed="false">
      <c r="A172" s="16"/>
      <c r="B172" s="17"/>
      <c r="C172" s="18"/>
      <c r="D172" s="18"/>
      <c r="E172" s="19" t="str">
        <f aca="false">IF(OR(C172="",D172=""),"",IF(D172&lt;=C172,"Check times",ROUND((D172-C172)*24,2)))</f>
        <v/>
      </c>
      <c r="F172" s="20" t="str">
        <f aca="false">IF(A172="","",A172-WEEKDAY(A172,3))</f>
        <v/>
      </c>
      <c r="G172" s="21"/>
      <c r="H172" s="19" t="str">
        <f aca="false">IF(OR(B172="",NOT(ISNUMBER(E172))),"",SUMIFS($E$6:$E$505,$B$6:$B$505,B172,$F$6:$F$505,F172,$A$6:$A$505,"&lt;="&amp;A172))</f>
        <v/>
      </c>
      <c r="I172" s="19" t="str">
        <f aca="false">IF(H172="","",MAX(0,Setup!$B$5-H172))</f>
        <v/>
      </c>
    </row>
    <row r="173" customFormat="false" ht="15" hidden="false" customHeight="false" outlineLevel="0" collapsed="false">
      <c r="A173" s="16"/>
      <c r="B173" s="17"/>
      <c r="C173" s="18"/>
      <c r="D173" s="18"/>
      <c r="E173" s="19" t="str">
        <f aca="false">IF(OR(C173="",D173=""),"",IF(D173&lt;=C173,"Check times",ROUND((D173-C173)*24,2)))</f>
        <v/>
      </c>
      <c r="F173" s="20" t="str">
        <f aca="false">IF(A173="","",A173-WEEKDAY(A173,3))</f>
        <v/>
      </c>
      <c r="G173" s="21"/>
      <c r="H173" s="19" t="str">
        <f aca="false">IF(OR(B173="",NOT(ISNUMBER(E173))),"",SUMIFS($E$6:$E$505,$B$6:$B$505,B173,$F$6:$F$505,F173,$A$6:$A$505,"&lt;="&amp;A173))</f>
        <v/>
      </c>
      <c r="I173" s="19" t="str">
        <f aca="false">IF(H173="","",MAX(0,Setup!$B$5-H173))</f>
        <v/>
      </c>
    </row>
    <row r="174" customFormat="false" ht="15" hidden="false" customHeight="false" outlineLevel="0" collapsed="false">
      <c r="A174" s="16"/>
      <c r="B174" s="17"/>
      <c r="C174" s="18"/>
      <c r="D174" s="18"/>
      <c r="E174" s="19" t="str">
        <f aca="false">IF(OR(C174="",D174=""),"",IF(D174&lt;=C174,"Check times",ROUND((D174-C174)*24,2)))</f>
        <v/>
      </c>
      <c r="F174" s="20" t="str">
        <f aca="false">IF(A174="","",A174-WEEKDAY(A174,3))</f>
        <v/>
      </c>
      <c r="G174" s="21"/>
      <c r="H174" s="19" t="str">
        <f aca="false">IF(OR(B174="",NOT(ISNUMBER(E174))),"",SUMIFS($E$6:$E$505,$B$6:$B$505,B174,$F$6:$F$505,F174,$A$6:$A$505,"&lt;="&amp;A174))</f>
        <v/>
      </c>
      <c r="I174" s="19" t="str">
        <f aca="false">IF(H174="","",MAX(0,Setup!$B$5-H174))</f>
        <v/>
      </c>
    </row>
    <row r="175" customFormat="false" ht="15" hidden="false" customHeight="false" outlineLevel="0" collapsed="false">
      <c r="A175" s="16"/>
      <c r="B175" s="17"/>
      <c r="C175" s="18"/>
      <c r="D175" s="18"/>
      <c r="E175" s="19" t="str">
        <f aca="false">IF(OR(C175="",D175=""),"",IF(D175&lt;=C175,"Check times",ROUND((D175-C175)*24,2)))</f>
        <v/>
      </c>
      <c r="F175" s="20" t="str">
        <f aca="false">IF(A175="","",A175-WEEKDAY(A175,3))</f>
        <v/>
      </c>
      <c r="G175" s="21"/>
      <c r="H175" s="19" t="str">
        <f aca="false">IF(OR(B175="",NOT(ISNUMBER(E175))),"",SUMIFS($E$6:$E$505,$B$6:$B$505,B175,$F$6:$F$505,F175,$A$6:$A$505,"&lt;="&amp;A175))</f>
        <v/>
      </c>
      <c r="I175" s="19" t="str">
        <f aca="false">IF(H175="","",MAX(0,Setup!$B$5-H175))</f>
        <v/>
      </c>
    </row>
    <row r="176" customFormat="false" ht="15" hidden="false" customHeight="false" outlineLevel="0" collapsed="false">
      <c r="A176" s="16"/>
      <c r="B176" s="17"/>
      <c r="C176" s="18"/>
      <c r="D176" s="18"/>
      <c r="E176" s="19" t="str">
        <f aca="false">IF(OR(C176="",D176=""),"",IF(D176&lt;=C176,"Check times",ROUND((D176-C176)*24,2)))</f>
        <v/>
      </c>
      <c r="F176" s="20" t="str">
        <f aca="false">IF(A176="","",A176-WEEKDAY(A176,3))</f>
        <v/>
      </c>
      <c r="G176" s="21"/>
      <c r="H176" s="19" t="str">
        <f aca="false">IF(OR(B176="",NOT(ISNUMBER(E176))),"",SUMIFS($E$6:$E$505,$B$6:$B$505,B176,$F$6:$F$505,F176,$A$6:$A$505,"&lt;="&amp;A176))</f>
        <v/>
      </c>
      <c r="I176" s="19" t="str">
        <f aca="false">IF(H176="","",MAX(0,Setup!$B$5-H176))</f>
        <v/>
      </c>
    </row>
    <row r="177" customFormat="false" ht="15" hidden="false" customHeight="false" outlineLevel="0" collapsed="false">
      <c r="A177" s="16"/>
      <c r="B177" s="17"/>
      <c r="C177" s="18"/>
      <c r="D177" s="18"/>
      <c r="E177" s="19" t="str">
        <f aca="false">IF(OR(C177="",D177=""),"",IF(D177&lt;=C177,"Check times",ROUND((D177-C177)*24,2)))</f>
        <v/>
      </c>
      <c r="F177" s="20" t="str">
        <f aca="false">IF(A177="","",A177-WEEKDAY(A177,3))</f>
        <v/>
      </c>
      <c r="G177" s="21"/>
      <c r="H177" s="19" t="str">
        <f aca="false">IF(OR(B177="",NOT(ISNUMBER(E177))),"",SUMIFS($E$6:$E$505,$B$6:$B$505,B177,$F$6:$F$505,F177,$A$6:$A$505,"&lt;="&amp;A177))</f>
        <v/>
      </c>
      <c r="I177" s="19" t="str">
        <f aca="false">IF(H177="","",MAX(0,Setup!$B$5-H177))</f>
        <v/>
      </c>
    </row>
    <row r="178" customFormat="false" ht="15" hidden="false" customHeight="false" outlineLevel="0" collapsed="false">
      <c r="A178" s="16"/>
      <c r="B178" s="17"/>
      <c r="C178" s="18"/>
      <c r="D178" s="18"/>
      <c r="E178" s="19" t="str">
        <f aca="false">IF(OR(C178="",D178=""),"",IF(D178&lt;=C178,"Check times",ROUND((D178-C178)*24,2)))</f>
        <v/>
      </c>
      <c r="F178" s="20" t="str">
        <f aca="false">IF(A178="","",A178-WEEKDAY(A178,3))</f>
        <v/>
      </c>
      <c r="G178" s="21"/>
      <c r="H178" s="19" t="str">
        <f aca="false">IF(OR(B178="",NOT(ISNUMBER(E178))),"",SUMIFS($E$6:$E$505,$B$6:$B$505,B178,$F$6:$F$505,F178,$A$6:$A$505,"&lt;="&amp;A178))</f>
        <v/>
      </c>
      <c r="I178" s="19" t="str">
        <f aca="false">IF(H178="","",MAX(0,Setup!$B$5-H178))</f>
        <v/>
      </c>
    </row>
    <row r="179" customFormat="false" ht="15" hidden="false" customHeight="false" outlineLevel="0" collapsed="false">
      <c r="A179" s="16"/>
      <c r="B179" s="17"/>
      <c r="C179" s="18"/>
      <c r="D179" s="18"/>
      <c r="E179" s="19" t="str">
        <f aca="false">IF(OR(C179="",D179=""),"",IF(D179&lt;=C179,"Check times",ROUND((D179-C179)*24,2)))</f>
        <v/>
      </c>
      <c r="F179" s="20" t="str">
        <f aca="false">IF(A179="","",A179-WEEKDAY(A179,3))</f>
        <v/>
      </c>
      <c r="G179" s="21"/>
      <c r="H179" s="19" t="str">
        <f aca="false">IF(OR(B179="",NOT(ISNUMBER(E179))),"",SUMIFS($E$6:$E$505,$B$6:$B$505,B179,$F$6:$F$505,F179,$A$6:$A$505,"&lt;="&amp;A179))</f>
        <v/>
      </c>
      <c r="I179" s="19" t="str">
        <f aca="false">IF(H179="","",MAX(0,Setup!$B$5-H179))</f>
        <v/>
      </c>
    </row>
    <row r="180" customFormat="false" ht="15" hidden="false" customHeight="false" outlineLevel="0" collapsed="false">
      <c r="A180" s="16"/>
      <c r="B180" s="17"/>
      <c r="C180" s="18"/>
      <c r="D180" s="18"/>
      <c r="E180" s="19" t="str">
        <f aca="false">IF(OR(C180="",D180=""),"",IF(D180&lt;=C180,"Check times",ROUND((D180-C180)*24,2)))</f>
        <v/>
      </c>
      <c r="F180" s="20" t="str">
        <f aca="false">IF(A180="","",A180-WEEKDAY(A180,3))</f>
        <v/>
      </c>
      <c r="G180" s="21"/>
      <c r="H180" s="19" t="str">
        <f aca="false">IF(OR(B180="",NOT(ISNUMBER(E180))),"",SUMIFS($E$6:$E$505,$B$6:$B$505,B180,$F$6:$F$505,F180,$A$6:$A$505,"&lt;="&amp;A180))</f>
        <v/>
      </c>
      <c r="I180" s="19" t="str">
        <f aca="false">IF(H180="","",MAX(0,Setup!$B$5-H180))</f>
        <v/>
      </c>
    </row>
    <row r="181" customFormat="false" ht="15" hidden="false" customHeight="false" outlineLevel="0" collapsed="false">
      <c r="A181" s="16"/>
      <c r="B181" s="17"/>
      <c r="C181" s="18"/>
      <c r="D181" s="18"/>
      <c r="E181" s="19" t="str">
        <f aca="false">IF(OR(C181="",D181=""),"",IF(D181&lt;=C181,"Check times",ROUND((D181-C181)*24,2)))</f>
        <v/>
      </c>
      <c r="F181" s="20" t="str">
        <f aca="false">IF(A181="","",A181-WEEKDAY(A181,3))</f>
        <v/>
      </c>
      <c r="G181" s="21"/>
      <c r="H181" s="19" t="str">
        <f aca="false">IF(OR(B181="",NOT(ISNUMBER(E181))),"",SUMIFS($E$6:$E$505,$B$6:$B$505,B181,$F$6:$F$505,F181,$A$6:$A$505,"&lt;="&amp;A181))</f>
        <v/>
      </c>
      <c r="I181" s="19" t="str">
        <f aca="false">IF(H181="","",MAX(0,Setup!$B$5-H181))</f>
        <v/>
      </c>
    </row>
    <row r="182" customFormat="false" ht="15" hidden="false" customHeight="false" outlineLevel="0" collapsed="false">
      <c r="A182" s="16"/>
      <c r="B182" s="17"/>
      <c r="C182" s="18"/>
      <c r="D182" s="18"/>
      <c r="E182" s="19" t="str">
        <f aca="false">IF(OR(C182="",D182=""),"",IF(D182&lt;=C182,"Check times",ROUND((D182-C182)*24,2)))</f>
        <v/>
      </c>
      <c r="F182" s="20" t="str">
        <f aca="false">IF(A182="","",A182-WEEKDAY(A182,3))</f>
        <v/>
      </c>
      <c r="G182" s="21"/>
      <c r="H182" s="19" t="str">
        <f aca="false">IF(OR(B182="",NOT(ISNUMBER(E182))),"",SUMIFS($E$6:$E$505,$B$6:$B$505,B182,$F$6:$F$505,F182,$A$6:$A$505,"&lt;="&amp;A182))</f>
        <v/>
      </c>
      <c r="I182" s="19" t="str">
        <f aca="false">IF(H182="","",MAX(0,Setup!$B$5-H182))</f>
        <v/>
      </c>
    </row>
    <row r="183" customFormat="false" ht="15" hidden="false" customHeight="false" outlineLevel="0" collapsed="false">
      <c r="A183" s="16"/>
      <c r="B183" s="17"/>
      <c r="C183" s="18"/>
      <c r="D183" s="18"/>
      <c r="E183" s="19" t="str">
        <f aca="false">IF(OR(C183="",D183=""),"",IF(D183&lt;=C183,"Check times",ROUND((D183-C183)*24,2)))</f>
        <v/>
      </c>
      <c r="F183" s="20" t="str">
        <f aca="false">IF(A183="","",A183-WEEKDAY(A183,3))</f>
        <v/>
      </c>
      <c r="G183" s="21"/>
      <c r="H183" s="19" t="str">
        <f aca="false">IF(OR(B183="",NOT(ISNUMBER(E183))),"",SUMIFS($E$6:$E$505,$B$6:$B$505,B183,$F$6:$F$505,F183,$A$6:$A$505,"&lt;="&amp;A183))</f>
        <v/>
      </c>
      <c r="I183" s="19" t="str">
        <f aca="false">IF(H183="","",MAX(0,Setup!$B$5-H183))</f>
        <v/>
      </c>
    </row>
    <row r="184" customFormat="false" ht="15" hidden="false" customHeight="false" outlineLevel="0" collapsed="false">
      <c r="A184" s="16"/>
      <c r="B184" s="17"/>
      <c r="C184" s="18"/>
      <c r="D184" s="18"/>
      <c r="E184" s="19" t="str">
        <f aca="false">IF(OR(C184="",D184=""),"",IF(D184&lt;=C184,"Check times",ROUND((D184-C184)*24,2)))</f>
        <v/>
      </c>
      <c r="F184" s="20" t="str">
        <f aca="false">IF(A184="","",A184-WEEKDAY(A184,3))</f>
        <v/>
      </c>
      <c r="G184" s="21"/>
      <c r="H184" s="19" t="str">
        <f aca="false">IF(OR(B184="",NOT(ISNUMBER(E184))),"",SUMIFS($E$6:$E$505,$B$6:$B$505,B184,$F$6:$F$505,F184,$A$6:$A$505,"&lt;="&amp;A184))</f>
        <v/>
      </c>
      <c r="I184" s="19" t="str">
        <f aca="false">IF(H184="","",MAX(0,Setup!$B$5-H184))</f>
        <v/>
      </c>
    </row>
    <row r="185" customFormat="false" ht="15" hidden="false" customHeight="false" outlineLevel="0" collapsed="false">
      <c r="A185" s="16"/>
      <c r="B185" s="17"/>
      <c r="C185" s="18"/>
      <c r="D185" s="18"/>
      <c r="E185" s="19" t="str">
        <f aca="false">IF(OR(C185="",D185=""),"",IF(D185&lt;=C185,"Check times",ROUND((D185-C185)*24,2)))</f>
        <v/>
      </c>
      <c r="F185" s="20" t="str">
        <f aca="false">IF(A185="","",A185-WEEKDAY(A185,3))</f>
        <v/>
      </c>
      <c r="G185" s="21"/>
      <c r="H185" s="19" t="str">
        <f aca="false">IF(OR(B185="",NOT(ISNUMBER(E185))),"",SUMIFS($E$6:$E$505,$B$6:$B$505,B185,$F$6:$F$505,F185,$A$6:$A$505,"&lt;="&amp;A185))</f>
        <v/>
      </c>
      <c r="I185" s="19" t="str">
        <f aca="false">IF(H185="","",MAX(0,Setup!$B$5-H185))</f>
        <v/>
      </c>
    </row>
    <row r="186" customFormat="false" ht="15" hidden="false" customHeight="false" outlineLevel="0" collapsed="false">
      <c r="A186" s="16"/>
      <c r="B186" s="17"/>
      <c r="C186" s="18"/>
      <c r="D186" s="18"/>
      <c r="E186" s="19" t="str">
        <f aca="false">IF(OR(C186="",D186=""),"",IF(D186&lt;=C186,"Check times",ROUND((D186-C186)*24,2)))</f>
        <v/>
      </c>
      <c r="F186" s="20" t="str">
        <f aca="false">IF(A186="","",A186-WEEKDAY(A186,3))</f>
        <v/>
      </c>
      <c r="G186" s="21"/>
      <c r="H186" s="19" t="str">
        <f aca="false">IF(OR(B186="",NOT(ISNUMBER(E186))),"",SUMIFS($E$6:$E$505,$B$6:$B$505,B186,$F$6:$F$505,F186,$A$6:$A$505,"&lt;="&amp;A186))</f>
        <v/>
      </c>
      <c r="I186" s="19" t="str">
        <f aca="false">IF(H186="","",MAX(0,Setup!$B$5-H186))</f>
        <v/>
      </c>
    </row>
    <row r="187" customFormat="false" ht="15" hidden="false" customHeight="false" outlineLevel="0" collapsed="false">
      <c r="A187" s="16"/>
      <c r="B187" s="17"/>
      <c r="C187" s="18"/>
      <c r="D187" s="18"/>
      <c r="E187" s="19" t="str">
        <f aca="false">IF(OR(C187="",D187=""),"",IF(D187&lt;=C187,"Check times",ROUND((D187-C187)*24,2)))</f>
        <v/>
      </c>
      <c r="F187" s="20" t="str">
        <f aca="false">IF(A187="","",A187-WEEKDAY(A187,3))</f>
        <v/>
      </c>
      <c r="G187" s="21"/>
      <c r="H187" s="19" t="str">
        <f aca="false">IF(OR(B187="",NOT(ISNUMBER(E187))),"",SUMIFS($E$6:$E$505,$B$6:$B$505,B187,$F$6:$F$505,F187,$A$6:$A$505,"&lt;="&amp;A187))</f>
        <v/>
      </c>
      <c r="I187" s="19" t="str">
        <f aca="false">IF(H187="","",MAX(0,Setup!$B$5-H187))</f>
        <v/>
      </c>
    </row>
    <row r="188" customFormat="false" ht="15" hidden="false" customHeight="false" outlineLevel="0" collapsed="false">
      <c r="A188" s="16"/>
      <c r="B188" s="17"/>
      <c r="C188" s="18"/>
      <c r="D188" s="18"/>
      <c r="E188" s="19" t="str">
        <f aca="false">IF(OR(C188="",D188=""),"",IF(D188&lt;=C188,"Check times",ROUND((D188-C188)*24,2)))</f>
        <v/>
      </c>
      <c r="F188" s="20" t="str">
        <f aca="false">IF(A188="","",A188-WEEKDAY(A188,3))</f>
        <v/>
      </c>
      <c r="G188" s="21"/>
      <c r="H188" s="19" t="str">
        <f aca="false">IF(OR(B188="",NOT(ISNUMBER(E188))),"",SUMIFS($E$6:$E$505,$B$6:$B$505,B188,$F$6:$F$505,F188,$A$6:$A$505,"&lt;="&amp;A188))</f>
        <v/>
      </c>
      <c r="I188" s="19" t="str">
        <f aca="false">IF(H188="","",MAX(0,Setup!$B$5-H188))</f>
        <v/>
      </c>
    </row>
    <row r="189" customFormat="false" ht="15" hidden="false" customHeight="false" outlineLevel="0" collapsed="false">
      <c r="A189" s="16"/>
      <c r="B189" s="17"/>
      <c r="C189" s="18"/>
      <c r="D189" s="18"/>
      <c r="E189" s="19" t="str">
        <f aca="false">IF(OR(C189="",D189=""),"",IF(D189&lt;=C189,"Check times",ROUND((D189-C189)*24,2)))</f>
        <v/>
      </c>
      <c r="F189" s="20" t="str">
        <f aca="false">IF(A189="","",A189-WEEKDAY(A189,3))</f>
        <v/>
      </c>
      <c r="G189" s="21"/>
      <c r="H189" s="19" t="str">
        <f aca="false">IF(OR(B189="",NOT(ISNUMBER(E189))),"",SUMIFS($E$6:$E$505,$B$6:$B$505,B189,$F$6:$F$505,F189,$A$6:$A$505,"&lt;="&amp;A189))</f>
        <v/>
      </c>
      <c r="I189" s="19" t="str">
        <f aca="false">IF(H189="","",MAX(0,Setup!$B$5-H189))</f>
        <v/>
      </c>
    </row>
    <row r="190" customFormat="false" ht="15" hidden="false" customHeight="false" outlineLevel="0" collapsed="false">
      <c r="A190" s="16"/>
      <c r="B190" s="17"/>
      <c r="C190" s="18"/>
      <c r="D190" s="18"/>
      <c r="E190" s="19" t="str">
        <f aca="false">IF(OR(C190="",D190=""),"",IF(D190&lt;=C190,"Check times",ROUND((D190-C190)*24,2)))</f>
        <v/>
      </c>
      <c r="F190" s="20" t="str">
        <f aca="false">IF(A190="","",A190-WEEKDAY(A190,3))</f>
        <v/>
      </c>
      <c r="G190" s="21"/>
      <c r="H190" s="19" t="str">
        <f aca="false">IF(OR(B190="",NOT(ISNUMBER(E190))),"",SUMIFS($E$6:$E$505,$B$6:$B$505,B190,$F$6:$F$505,F190,$A$6:$A$505,"&lt;="&amp;A190))</f>
        <v/>
      </c>
      <c r="I190" s="19" t="str">
        <f aca="false">IF(H190="","",MAX(0,Setup!$B$5-H190))</f>
        <v/>
      </c>
    </row>
    <row r="191" customFormat="false" ht="15" hidden="false" customHeight="false" outlineLevel="0" collapsed="false">
      <c r="A191" s="16"/>
      <c r="B191" s="17"/>
      <c r="C191" s="18"/>
      <c r="D191" s="18"/>
      <c r="E191" s="19" t="str">
        <f aca="false">IF(OR(C191="",D191=""),"",IF(D191&lt;=C191,"Check times",ROUND((D191-C191)*24,2)))</f>
        <v/>
      </c>
      <c r="F191" s="20" t="str">
        <f aca="false">IF(A191="","",A191-WEEKDAY(A191,3))</f>
        <v/>
      </c>
      <c r="G191" s="21"/>
      <c r="H191" s="19" t="str">
        <f aca="false">IF(OR(B191="",NOT(ISNUMBER(E191))),"",SUMIFS($E$6:$E$505,$B$6:$B$505,B191,$F$6:$F$505,F191,$A$6:$A$505,"&lt;="&amp;A191))</f>
        <v/>
      </c>
      <c r="I191" s="19" t="str">
        <f aca="false">IF(H191="","",MAX(0,Setup!$B$5-H191))</f>
        <v/>
      </c>
    </row>
    <row r="192" customFormat="false" ht="15" hidden="false" customHeight="false" outlineLevel="0" collapsed="false">
      <c r="A192" s="16"/>
      <c r="B192" s="17"/>
      <c r="C192" s="18"/>
      <c r="D192" s="18"/>
      <c r="E192" s="19" t="str">
        <f aca="false">IF(OR(C192="",D192=""),"",IF(D192&lt;=C192,"Check times",ROUND((D192-C192)*24,2)))</f>
        <v/>
      </c>
      <c r="F192" s="20" t="str">
        <f aca="false">IF(A192="","",A192-WEEKDAY(A192,3))</f>
        <v/>
      </c>
      <c r="G192" s="21"/>
      <c r="H192" s="19" t="str">
        <f aca="false">IF(OR(B192="",NOT(ISNUMBER(E192))),"",SUMIFS($E$6:$E$505,$B$6:$B$505,B192,$F$6:$F$505,F192,$A$6:$A$505,"&lt;="&amp;A192))</f>
        <v/>
      </c>
      <c r="I192" s="19" t="str">
        <f aca="false">IF(H192="","",MAX(0,Setup!$B$5-H192))</f>
        <v/>
      </c>
    </row>
    <row r="193" customFormat="false" ht="15" hidden="false" customHeight="false" outlineLevel="0" collapsed="false">
      <c r="A193" s="16"/>
      <c r="B193" s="17"/>
      <c r="C193" s="18"/>
      <c r="D193" s="18"/>
      <c r="E193" s="19" t="str">
        <f aca="false">IF(OR(C193="",D193=""),"",IF(D193&lt;=C193,"Check times",ROUND((D193-C193)*24,2)))</f>
        <v/>
      </c>
      <c r="F193" s="20" t="str">
        <f aca="false">IF(A193="","",A193-WEEKDAY(A193,3))</f>
        <v/>
      </c>
      <c r="G193" s="21"/>
      <c r="H193" s="19" t="str">
        <f aca="false">IF(OR(B193="",NOT(ISNUMBER(E193))),"",SUMIFS($E$6:$E$505,$B$6:$B$505,B193,$F$6:$F$505,F193,$A$6:$A$505,"&lt;="&amp;A193))</f>
        <v/>
      </c>
      <c r="I193" s="19" t="str">
        <f aca="false">IF(H193="","",MAX(0,Setup!$B$5-H193))</f>
        <v/>
      </c>
    </row>
    <row r="194" customFormat="false" ht="15" hidden="false" customHeight="false" outlineLevel="0" collapsed="false">
      <c r="A194" s="16"/>
      <c r="B194" s="17"/>
      <c r="C194" s="18"/>
      <c r="D194" s="18"/>
      <c r="E194" s="19" t="str">
        <f aca="false">IF(OR(C194="",D194=""),"",IF(D194&lt;=C194,"Check times",ROUND((D194-C194)*24,2)))</f>
        <v/>
      </c>
      <c r="F194" s="20" t="str">
        <f aca="false">IF(A194="","",A194-WEEKDAY(A194,3))</f>
        <v/>
      </c>
      <c r="G194" s="21"/>
      <c r="H194" s="19" t="str">
        <f aca="false">IF(OR(B194="",NOT(ISNUMBER(E194))),"",SUMIFS($E$6:$E$505,$B$6:$B$505,B194,$F$6:$F$505,F194,$A$6:$A$505,"&lt;="&amp;A194))</f>
        <v/>
      </c>
      <c r="I194" s="19" t="str">
        <f aca="false">IF(H194="","",MAX(0,Setup!$B$5-H194))</f>
        <v/>
      </c>
    </row>
    <row r="195" customFormat="false" ht="15" hidden="false" customHeight="false" outlineLevel="0" collapsed="false">
      <c r="A195" s="16"/>
      <c r="B195" s="17"/>
      <c r="C195" s="18"/>
      <c r="D195" s="18"/>
      <c r="E195" s="19" t="str">
        <f aca="false">IF(OR(C195="",D195=""),"",IF(D195&lt;=C195,"Check times",ROUND((D195-C195)*24,2)))</f>
        <v/>
      </c>
      <c r="F195" s="20" t="str">
        <f aca="false">IF(A195="","",A195-WEEKDAY(A195,3))</f>
        <v/>
      </c>
      <c r="G195" s="21"/>
      <c r="H195" s="19" t="str">
        <f aca="false">IF(OR(B195="",NOT(ISNUMBER(E195))),"",SUMIFS($E$6:$E$505,$B$6:$B$505,B195,$F$6:$F$505,F195,$A$6:$A$505,"&lt;="&amp;A195))</f>
        <v/>
      </c>
      <c r="I195" s="19" t="str">
        <f aca="false">IF(H195="","",MAX(0,Setup!$B$5-H195))</f>
        <v/>
      </c>
    </row>
    <row r="196" customFormat="false" ht="15" hidden="false" customHeight="false" outlineLevel="0" collapsed="false">
      <c r="A196" s="16"/>
      <c r="B196" s="17"/>
      <c r="C196" s="18"/>
      <c r="D196" s="18"/>
      <c r="E196" s="19" t="str">
        <f aca="false">IF(OR(C196="",D196=""),"",IF(D196&lt;=C196,"Check times",ROUND((D196-C196)*24,2)))</f>
        <v/>
      </c>
      <c r="F196" s="20" t="str">
        <f aca="false">IF(A196="","",A196-WEEKDAY(A196,3))</f>
        <v/>
      </c>
      <c r="G196" s="21"/>
      <c r="H196" s="19" t="str">
        <f aca="false">IF(OR(B196="",NOT(ISNUMBER(E196))),"",SUMIFS($E$6:$E$505,$B$6:$B$505,B196,$F$6:$F$505,F196,$A$6:$A$505,"&lt;="&amp;A196))</f>
        <v/>
      </c>
      <c r="I196" s="19" t="str">
        <f aca="false">IF(H196="","",MAX(0,Setup!$B$5-H196))</f>
        <v/>
      </c>
    </row>
    <row r="197" customFormat="false" ht="15" hidden="false" customHeight="false" outlineLevel="0" collapsed="false">
      <c r="A197" s="16"/>
      <c r="B197" s="17"/>
      <c r="C197" s="18"/>
      <c r="D197" s="18"/>
      <c r="E197" s="19" t="str">
        <f aca="false">IF(OR(C197="",D197=""),"",IF(D197&lt;=C197,"Check times",ROUND((D197-C197)*24,2)))</f>
        <v/>
      </c>
      <c r="F197" s="20" t="str">
        <f aca="false">IF(A197="","",A197-WEEKDAY(A197,3))</f>
        <v/>
      </c>
      <c r="G197" s="21"/>
      <c r="H197" s="19" t="str">
        <f aca="false">IF(OR(B197="",NOT(ISNUMBER(E197))),"",SUMIFS($E$6:$E$505,$B$6:$B$505,B197,$F$6:$F$505,F197,$A$6:$A$505,"&lt;="&amp;A197))</f>
        <v/>
      </c>
      <c r="I197" s="19" t="str">
        <f aca="false">IF(H197="","",MAX(0,Setup!$B$5-H197))</f>
        <v/>
      </c>
    </row>
    <row r="198" customFormat="false" ht="15" hidden="false" customHeight="false" outlineLevel="0" collapsed="false">
      <c r="A198" s="16"/>
      <c r="B198" s="17"/>
      <c r="C198" s="18"/>
      <c r="D198" s="18"/>
      <c r="E198" s="19" t="str">
        <f aca="false">IF(OR(C198="",D198=""),"",IF(D198&lt;=C198,"Check times",ROUND((D198-C198)*24,2)))</f>
        <v/>
      </c>
      <c r="F198" s="20" t="str">
        <f aca="false">IF(A198="","",A198-WEEKDAY(A198,3))</f>
        <v/>
      </c>
      <c r="G198" s="21"/>
      <c r="H198" s="19" t="str">
        <f aca="false">IF(OR(B198="",NOT(ISNUMBER(E198))),"",SUMIFS($E$6:$E$505,$B$6:$B$505,B198,$F$6:$F$505,F198,$A$6:$A$505,"&lt;="&amp;A198))</f>
        <v/>
      </c>
      <c r="I198" s="19" t="str">
        <f aca="false">IF(H198="","",MAX(0,Setup!$B$5-H198))</f>
        <v/>
      </c>
    </row>
    <row r="199" customFormat="false" ht="15" hidden="false" customHeight="false" outlineLevel="0" collapsed="false">
      <c r="A199" s="16"/>
      <c r="B199" s="17"/>
      <c r="C199" s="18"/>
      <c r="D199" s="18"/>
      <c r="E199" s="19" t="str">
        <f aca="false">IF(OR(C199="",D199=""),"",IF(D199&lt;=C199,"Check times",ROUND((D199-C199)*24,2)))</f>
        <v/>
      </c>
      <c r="F199" s="20" t="str">
        <f aca="false">IF(A199="","",A199-WEEKDAY(A199,3))</f>
        <v/>
      </c>
      <c r="G199" s="21"/>
      <c r="H199" s="19" t="str">
        <f aca="false">IF(OR(B199="",NOT(ISNUMBER(E199))),"",SUMIFS($E$6:$E$505,$B$6:$B$505,B199,$F$6:$F$505,F199,$A$6:$A$505,"&lt;="&amp;A199))</f>
        <v/>
      </c>
      <c r="I199" s="19" t="str">
        <f aca="false">IF(H199="","",MAX(0,Setup!$B$5-H199))</f>
        <v/>
      </c>
    </row>
    <row r="200" customFormat="false" ht="15" hidden="false" customHeight="false" outlineLevel="0" collapsed="false">
      <c r="A200" s="16"/>
      <c r="B200" s="17"/>
      <c r="C200" s="18"/>
      <c r="D200" s="18"/>
      <c r="E200" s="19" t="str">
        <f aca="false">IF(OR(C200="",D200=""),"",IF(D200&lt;=C200,"Check times",ROUND((D200-C200)*24,2)))</f>
        <v/>
      </c>
      <c r="F200" s="20" t="str">
        <f aca="false">IF(A200="","",A200-WEEKDAY(A200,3))</f>
        <v/>
      </c>
      <c r="G200" s="21"/>
      <c r="H200" s="19" t="str">
        <f aca="false">IF(OR(B200="",NOT(ISNUMBER(E200))),"",SUMIFS($E$6:$E$505,$B$6:$B$505,B200,$F$6:$F$505,F200,$A$6:$A$505,"&lt;="&amp;A200))</f>
        <v/>
      </c>
      <c r="I200" s="19" t="str">
        <f aca="false">IF(H200="","",MAX(0,Setup!$B$5-H200))</f>
        <v/>
      </c>
    </row>
    <row r="201" customFormat="false" ht="15" hidden="false" customHeight="false" outlineLevel="0" collapsed="false">
      <c r="A201" s="16"/>
      <c r="B201" s="17"/>
      <c r="C201" s="18"/>
      <c r="D201" s="18"/>
      <c r="E201" s="19" t="str">
        <f aca="false">IF(OR(C201="",D201=""),"",IF(D201&lt;=C201,"Check times",ROUND((D201-C201)*24,2)))</f>
        <v/>
      </c>
      <c r="F201" s="20" t="str">
        <f aca="false">IF(A201="","",A201-WEEKDAY(A201,3))</f>
        <v/>
      </c>
      <c r="G201" s="21"/>
      <c r="H201" s="19" t="str">
        <f aca="false">IF(OR(B201="",NOT(ISNUMBER(E201))),"",SUMIFS($E$6:$E$505,$B$6:$B$505,B201,$F$6:$F$505,F201,$A$6:$A$505,"&lt;="&amp;A201))</f>
        <v/>
      </c>
      <c r="I201" s="19" t="str">
        <f aca="false">IF(H201="","",MAX(0,Setup!$B$5-H201))</f>
        <v/>
      </c>
    </row>
    <row r="202" customFormat="false" ht="15" hidden="false" customHeight="false" outlineLevel="0" collapsed="false">
      <c r="A202" s="16"/>
      <c r="B202" s="17"/>
      <c r="C202" s="18"/>
      <c r="D202" s="18"/>
      <c r="E202" s="19" t="str">
        <f aca="false">IF(OR(C202="",D202=""),"",IF(D202&lt;=C202,"Check times",ROUND((D202-C202)*24,2)))</f>
        <v/>
      </c>
      <c r="F202" s="20" t="str">
        <f aca="false">IF(A202="","",A202-WEEKDAY(A202,3))</f>
        <v/>
      </c>
      <c r="G202" s="21"/>
      <c r="H202" s="19" t="str">
        <f aca="false">IF(OR(B202="",NOT(ISNUMBER(E202))),"",SUMIFS($E$6:$E$505,$B$6:$B$505,B202,$F$6:$F$505,F202,$A$6:$A$505,"&lt;="&amp;A202))</f>
        <v/>
      </c>
      <c r="I202" s="19" t="str">
        <f aca="false">IF(H202="","",MAX(0,Setup!$B$5-H202))</f>
        <v/>
      </c>
    </row>
    <row r="203" customFormat="false" ht="15" hidden="false" customHeight="false" outlineLevel="0" collapsed="false">
      <c r="A203" s="16"/>
      <c r="B203" s="17"/>
      <c r="C203" s="18"/>
      <c r="D203" s="18"/>
      <c r="E203" s="19" t="str">
        <f aca="false">IF(OR(C203="",D203=""),"",IF(D203&lt;=C203,"Check times",ROUND((D203-C203)*24,2)))</f>
        <v/>
      </c>
      <c r="F203" s="20" t="str">
        <f aca="false">IF(A203="","",A203-WEEKDAY(A203,3))</f>
        <v/>
      </c>
      <c r="G203" s="21"/>
      <c r="H203" s="19" t="str">
        <f aca="false">IF(OR(B203="",NOT(ISNUMBER(E203))),"",SUMIFS($E$6:$E$505,$B$6:$B$505,B203,$F$6:$F$505,F203,$A$6:$A$505,"&lt;="&amp;A203))</f>
        <v/>
      </c>
      <c r="I203" s="19" t="str">
        <f aca="false">IF(H203="","",MAX(0,Setup!$B$5-H203))</f>
        <v/>
      </c>
    </row>
    <row r="204" customFormat="false" ht="15" hidden="false" customHeight="false" outlineLevel="0" collapsed="false">
      <c r="A204" s="16"/>
      <c r="B204" s="17"/>
      <c r="C204" s="18"/>
      <c r="D204" s="18"/>
      <c r="E204" s="19" t="str">
        <f aca="false">IF(OR(C204="",D204=""),"",IF(D204&lt;=C204,"Check times",ROUND((D204-C204)*24,2)))</f>
        <v/>
      </c>
      <c r="F204" s="20" t="str">
        <f aca="false">IF(A204="","",A204-WEEKDAY(A204,3))</f>
        <v/>
      </c>
      <c r="G204" s="21"/>
      <c r="H204" s="19" t="str">
        <f aca="false">IF(OR(B204="",NOT(ISNUMBER(E204))),"",SUMIFS($E$6:$E$505,$B$6:$B$505,B204,$F$6:$F$505,F204,$A$6:$A$505,"&lt;="&amp;A204))</f>
        <v/>
      </c>
      <c r="I204" s="19" t="str">
        <f aca="false">IF(H204="","",MAX(0,Setup!$B$5-H204))</f>
        <v/>
      </c>
    </row>
    <row r="205" customFormat="false" ht="15" hidden="false" customHeight="false" outlineLevel="0" collapsed="false">
      <c r="A205" s="16"/>
      <c r="B205" s="17"/>
      <c r="C205" s="18"/>
      <c r="D205" s="18"/>
      <c r="E205" s="19" t="str">
        <f aca="false">IF(OR(C205="",D205=""),"",IF(D205&lt;=C205,"Check times",ROUND((D205-C205)*24,2)))</f>
        <v/>
      </c>
      <c r="F205" s="20" t="str">
        <f aca="false">IF(A205="","",A205-WEEKDAY(A205,3))</f>
        <v/>
      </c>
      <c r="G205" s="21"/>
      <c r="H205" s="19" t="str">
        <f aca="false">IF(OR(B205="",NOT(ISNUMBER(E205))),"",SUMIFS($E$6:$E$505,$B$6:$B$505,B205,$F$6:$F$505,F205,$A$6:$A$505,"&lt;="&amp;A205))</f>
        <v/>
      </c>
      <c r="I205" s="19" t="str">
        <f aca="false">IF(H205="","",MAX(0,Setup!$B$5-H205))</f>
        <v/>
      </c>
    </row>
    <row r="206" customFormat="false" ht="15" hidden="false" customHeight="false" outlineLevel="0" collapsed="false">
      <c r="A206" s="16"/>
      <c r="B206" s="17"/>
      <c r="C206" s="18"/>
      <c r="D206" s="18"/>
      <c r="E206" s="19" t="str">
        <f aca="false">IF(OR(C206="",D206=""),"",IF(D206&lt;=C206,"Check times",ROUND((D206-C206)*24,2)))</f>
        <v/>
      </c>
      <c r="F206" s="20" t="str">
        <f aca="false">IF(A206="","",A206-WEEKDAY(A206,3))</f>
        <v/>
      </c>
      <c r="G206" s="21"/>
      <c r="H206" s="19" t="str">
        <f aca="false">IF(OR(B206="",NOT(ISNUMBER(E206))),"",SUMIFS($E$6:$E$505,$B$6:$B$505,B206,$F$6:$F$505,F206,$A$6:$A$505,"&lt;="&amp;A206))</f>
        <v/>
      </c>
      <c r="I206" s="19" t="str">
        <f aca="false">IF(H206="","",MAX(0,Setup!$B$5-H206))</f>
        <v/>
      </c>
    </row>
    <row r="207" customFormat="false" ht="15" hidden="false" customHeight="false" outlineLevel="0" collapsed="false">
      <c r="A207" s="16"/>
      <c r="B207" s="17"/>
      <c r="C207" s="18"/>
      <c r="D207" s="18"/>
      <c r="E207" s="19" t="str">
        <f aca="false">IF(OR(C207="",D207=""),"",IF(D207&lt;=C207,"Check times",ROUND((D207-C207)*24,2)))</f>
        <v/>
      </c>
      <c r="F207" s="20" t="str">
        <f aca="false">IF(A207="","",A207-WEEKDAY(A207,3))</f>
        <v/>
      </c>
      <c r="G207" s="21"/>
      <c r="H207" s="19" t="str">
        <f aca="false">IF(OR(B207="",NOT(ISNUMBER(E207))),"",SUMIFS($E$6:$E$505,$B$6:$B$505,B207,$F$6:$F$505,F207,$A$6:$A$505,"&lt;="&amp;A207))</f>
        <v/>
      </c>
      <c r="I207" s="19" t="str">
        <f aca="false">IF(H207="","",MAX(0,Setup!$B$5-H207))</f>
        <v/>
      </c>
    </row>
    <row r="208" customFormat="false" ht="15" hidden="false" customHeight="false" outlineLevel="0" collapsed="false">
      <c r="A208" s="16"/>
      <c r="B208" s="17"/>
      <c r="C208" s="18"/>
      <c r="D208" s="18"/>
      <c r="E208" s="19" t="str">
        <f aca="false">IF(OR(C208="",D208=""),"",IF(D208&lt;=C208,"Check times",ROUND((D208-C208)*24,2)))</f>
        <v/>
      </c>
      <c r="F208" s="20" t="str">
        <f aca="false">IF(A208="","",A208-WEEKDAY(A208,3))</f>
        <v/>
      </c>
      <c r="G208" s="21"/>
      <c r="H208" s="19" t="str">
        <f aca="false">IF(OR(B208="",NOT(ISNUMBER(E208))),"",SUMIFS($E$6:$E$505,$B$6:$B$505,B208,$F$6:$F$505,F208,$A$6:$A$505,"&lt;="&amp;A208))</f>
        <v/>
      </c>
      <c r="I208" s="19" t="str">
        <f aca="false">IF(H208="","",MAX(0,Setup!$B$5-H208))</f>
        <v/>
      </c>
    </row>
    <row r="209" customFormat="false" ht="15" hidden="false" customHeight="false" outlineLevel="0" collapsed="false">
      <c r="A209" s="16"/>
      <c r="B209" s="17"/>
      <c r="C209" s="18"/>
      <c r="D209" s="18"/>
      <c r="E209" s="19" t="str">
        <f aca="false">IF(OR(C209="",D209=""),"",IF(D209&lt;=C209,"Check times",ROUND((D209-C209)*24,2)))</f>
        <v/>
      </c>
      <c r="F209" s="20" t="str">
        <f aca="false">IF(A209="","",A209-WEEKDAY(A209,3))</f>
        <v/>
      </c>
      <c r="G209" s="21"/>
      <c r="H209" s="19" t="str">
        <f aca="false">IF(OR(B209="",NOT(ISNUMBER(E209))),"",SUMIFS($E$6:$E$505,$B$6:$B$505,B209,$F$6:$F$505,F209,$A$6:$A$505,"&lt;="&amp;A209))</f>
        <v/>
      </c>
      <c r="I209" s="19" t="str">
        <f aca="false">IF(H209="","",MAX(0,Setup!$B$5-H209))</f>
        <v/>
      </c>
    </row>
    <row r="210" customFormat="false" ht="15" hidden="false" customHeight="false" outlineLevel="0" collapsed="false">
      <c r="A210" s="16"/>
      <c r="B210" s="17"/>
      <c r="C210" s="18"/>
      <c r="D210" s="18"/>
      <c r="E210" s="19" t="str">
        <f aca="false">IF(OR(C210="",D210=""),"",IF(D210&lt;=C210,"Check times",ROUND((D210-C210)*24,2)))</f>
        <v/>
      </c>
      <c r="F210" s="20" t="str">
        <f aca="false">IF(A210="","",A210-WEEKDAY(A210,3))</f>
        <v/>
      </c>
      <c r="G210" s="21"/>
      <c r="H210" s="19" t="str">
        <f aca="false">IF(OR(B210="",NOT(ISNUMBER(E210))),"",SUMIFS($E$6:$E$505,$B$6:$B$505,B210,$F$6:$F$505,F210,$A$6:$A$505,"&lt;="&amp;A210))</f>
        <v/>
      </c>
      <c r="I210" s="19" t="str">
        <f aca="false">IF(H210="","",MAX(0,Setup!$B$5-H210))</f>
        <v/>
      </c>
    </row>
    <row r="211" customFormat="false" ht="15" hidden="false" customHeight="false" outlineLevel="0" collapsed="false">
      <c r="A211" s="16"/>
      <c r="B211" s="17"/>
      <c r="C211" s="18"/>
      <c r="D211" s="18"/>
      <c r="E211" s="19" t="str">
        <f aca="false">IF(OR(C211="",D211=""),"",IF(D211&lt;=C211,"Check times",ROUND((D211-C211)*24,2)))</f>
        <v/>
      </c>
      <c r="F211" s="20" t="str">
        <f aca="false">IF(A211="","",A211-WEEKDAY(A211,3))</f>
        <v/>
      </c>
      <c r="G211" s="21"/>
      <c r="H211" s="19" t="str">
        <f aca="false">IF(OR(B211="",NOT(ISNUMBER(E211))),"",SUMIFS($E$6:$E$505,$B$6:$B$505,B211,$F$6:$F$505,F211,$A$6:$A$505,"&lt;="&amp;A211))</f>
        <v/>
      </c>
      <c r="I211" s="19" t="str">
        <f aca="false">IF(H211="","",MAX(0,Setup!$B$5-H211))</f>
        <v/>
      </c>
    </row>
    <row r="212" customFormat="false" ht="15" hidden="false" customHeight="false" outlineLevel="0" collapsed="false">
      <c r="A212" s="16"/>
      <c r="B212" s="17"/>
      <c r="C212" s="18"/>
      <c r="D212" s="18"/>
      <c r="E212" s="19" t="str">
        <f aca="false">IF(OR(C212="",D212=""),"",IF(D212&lt;=C212,"Check times",ROUND((D212-C212)*24,2)))</f>
        <v/>
      </c>
      <c r="F212" s="20" t="str">
        <f aca="false">IF(A212="","",A212-WEEKDAY(A212,3))</f>
        <v/>
      </c>
      <c r="G212" s="21"/>
      <c r="H212" s="19" t="str">
        <f aca="false">IF(OR(B212="",NOT(ISNUMBER(E212))),"",SUMIFS($E$6:$E$505,$B$6:$B$505,B212,$F$6:$F$505,F212,$A$6:$A$505,"&lt;="&amp;A212))</f>
        <v/>
      </c>
      <c r="I212" s="19" t="str">
        <f aca="false">IF(H212="","",MAX(0,Setup!$B$5-H212))</f>
        <v/>
      </c>
    </row>
    <row r="213" customFormat="false" ht="15" hidden="false" customHeight="false" outlineLevel="0" collapsed="false">
      <c r="A213" s="16"/>
      <c r="B213" s="17"/>
      <c r="C213" s="18"/>
      <c r="D213" s="18"/>
      <c r="E213" s="19" t="str">
        <f aca="false">IF(OR(C213="",D213=""),"",IF(D213&lt;=C213,"Check times",ROUND((D213-C213)*24,2)))</f>
        <v/>
      </c>
      <c r="F213" s="20" t="str">
        <f aca="false">IF(A213="","",A213-WEEKDAY(A213,3))</f>
        <v/>
      </c>
      <c r="G213" s="21"/>
      <c r="H213" s="19" t="str">
        <f aca="false">IF(OR(B213="",NOT(ISNUMBER(E213))),"",SUMIFS($E$6:$E$505,$B$6:$B$505,B213,$F$6:$F$505,F213,$A$6:$A$505,"&lt;="&amp;A213))</f>
        <v/>
      </c>
      <c r="I213" s="19" t="str">
        <f aca="false">IF(H213="","",MAX(0,Setup!$B$5-H213))</f>
        <v/>
      </c>
    </row>
    <row r="214" customFormat="false" ht="15" hidden="false" customHeight="false" outlineLevel="0" collapsed="false">
      <c r="A214" s="16"/>
      <c r="B214" s="17"/>
      <c r="C214" s="18"/>
      <c r="D214" s="18"/>
      <c r="E214" s="19" t="str">
        <f aca="false">IF(OR(C214="",D214=""),"",IF(D214&lt;=C214,"Check times",ROUND((D214-C214)*24,2)))</f>
        <v/>
      </c>
      <c r="F214" s="20" t="str">
        <f aca="false">IF(A214="","",A214-WEEKDAY(A214,3))</f>
        <v/>
      </c>
      <c r="G214" s="21"/>
      <c r="H214" s="19" t="str">
        <f aca="false">IF(OR(B214="",NOT(ISNUMBER(E214))),"",SUMIFS($E$6:$E$505,$B$6:$B$505,B214,$F$6:$F$505,F214,$A$6:$A$505,"&lt;="&amp;A214))</f>
        <v/>
      </c>
      <c r="I214" s="19" t="str">
        <f aca="false">IF(H214="","",MAX(0,Setup!$B$5-H214))</f>
        <v/>
      </c>
    </row>
    <row r="215" customFormat="false" ht="15" hidden="false" customHeight="false" outlineLevel="0" collapsed="false">
      <c r="A215" s="16"/>
      <c r="B215" s="17"/>
      <c r="C215" s="18"/>
      <c r="D215" s="18"/>
      <c r="E215" s="19" t="str">
        <f aca="false">IF(OR(C215="",D215=""),"",IF(D215&lt;=C215,"Check times",ROUND((D215-C215)*24,2)))</f>
        <v/>
      </c>
      <c r="F215" s="20" t="str">
        <f aca="false">IF(A215="","",A215-WEEKDAY(A215,3))</f>
        <v/>
      </c>
      <c r="G215" s="21"/>
      <c r="H215" s="19" t="str">
        <f aca="false">IF(OR(B215="",NOT(ISNUMBER(E215))),"",SUMIFS($E$6:$E$505,$B$6:$B$505,B215,$F$6:$F$505,F215,$A$6:$A$505,"&lt;="&amp;A215))</f>
        <v/>
      </c>
      <c r="I215" s="19" t="str">
        <f aca="false">IF(H215="","",MAX(0,Setup!$B$5-H215))</f>
        <v/>
      </c>
    </row>
    <row r="216" customFormat="false" ht="15" hidden="false" customHeight="false" outlineLevel="0" collapsed="false">
      <c r="A216" s="16"/>
      <c r="B216" s="17"/>
      <c r="C216" s="18"/>
      <c r="D216" s="18"/>
      <c r="E216" s="19" t="str">
        <f aca="false">IF(OR(C216="",D216=""),"",IF(D216&lt;=C216,"Check times",ROUND((D216-C216)*24,2)))</f>
        <v/>
      </c>
      <c r="F216" s="20" t="str">
        <f aca="false">IF(A216="","",A216-WEEKDAY(A216,3))</f>
        <v/>
      </c>
      <c r="G216" s="21"/>
      <c r="H216" s="19" t="str">
        <f aca="false">IF(OR(B216="",NOT(ISNUMBER(E216))),"",SUMIFS($E$6:$E$505,$B$6:$B$505,B216,$F$6:$F$505,F216,$A$6:$A$505,"&lt;="&amp;A216))</f>
        <v/>
      </c>
      <c r="I216" s="19" t="str">
        <f aca="false">IF(H216="","",MAX(0,Setup!$B$5-H216))</f>
        <v/>
      </c>
    </row>
    <row r="217" customFormat="false" ht="15" hidden="false" customHeight="false" outlineLevel="0" collapsed="false">
      <c r="A217" s="16"/>
      <c r="B217" s="17"/>
      <c r="C217" s="18"/>
      <c r="D217" s="18"/>
      <c r="E217" s="19" t="str">
        <f aca="false">IF(OR(C217="",D217=""),"",IF(D217&lt;=C217,"Check times",ROUND((D217-C217)*24,2)))</f>
        <v/>
      </c>
      <c r="F217" s="20" t="str">
        <f aca="false">IF(A217="","",A217-WEEKDAY(A217,3))</f>
        <v/>
      </c>
      <c r="G217" s="21"/>
      <c r="H217" s="19" t="str">
        <f aca="false">IF(OR(B217="",NOT(ISNUMBER(E217))),"",SUMIFS($E$6:$E$505,$B$6:$B$505,B217,$F$6:$F$505,F217,$A$6:$A$505,"&lt;="&amp;A217))</f>
        <v/>
      </c>
      <c r="I217" s="19" t="str">
        <f aca="false">IF(H217="","",MAX(0,Setup!$B$5-H217))</f>
        <v/>
      </c>
    </row>
    <row r="218" customFormat="false" ht="15" hidden="false" customHeight="false" outlineLevel="0" collapsed="false">
      <c r="A218" s="16"/>
      <c r="B218" s="17"/>
      <c r="C218" s="18"/>
      <c r="D218" s="18"/>
      <c r="E218" s="19" t="str">
        <f aca="false">IF(OR(C218="",D218=""),"",IF(D218&lt;=C218,"Check times",ROUND((D218-C218)*24,2)))</f>
        <v/>
      </c>
      <c r="F218" s="20" t="str">
        <f aca="false">IF(A218="","",A218-WEEKDAY(A218,3))</f>
        <v/>
      </c>
      <c r="G218" s="21"/>
      <c r="H218" s="19" t="str">
        <f aca="false">IF(OR(B218="",NOT(ISNUMBER(E218))),"",SUMIFS($E$6:$E$505,$B$6:$B$505,B218,$F$6:$F$505,F218,$A$6:$A$505,"&lt;="&amp;A218))</f>
        <v/>
      </c>
      <c r="I218" s="19" t="str">
        <f aca="false">IF(H218="","",MAX(0,Setup!$B$5-H218))</f>
        <v/>
      </c>
    </row>
    <row r="219" customFormat="false" ht="15" hidden="false" customHeight="false" outlineLevel="0" collapsed="false">
      <c r="A219" s="16"/>
      <c r="B219" s="17"/>
      <c r="C219" s="18"/>
      <c r="D219" s="18"/>
      <c r="E219" s="19" t="str">
        <f aca="false">IF(OR(C219="",D219=""),"",IF(D219&lt;=C219,"Check times",ROUND((D219-C219)*24,2)))</f>
        <v/>
      </c>
      <c r="F219" s="20" t="str">
        <f aca="false">IF(A219="","",A219-WEEKDAY(A219,3))</f>
        <v/>
      </c>
      <c r="G219" s="21"/>
      <c r="H219" s="19" t="str">
        <f aca="false">IF(OR(B219="",NOT(ISNUMBER(E219))),"",SUMIFS($E$6:$E$505,$B$6:$B$505,B219,$F$6:$F$505,F219,$A$6:$A$505,"&lt;="&amp;A219))</f>
        <v/>
      </c>
      <c r="I219" s="19" t="str">
        <f aca="false">IF(H219="","",MAX(0,Setup!$B$5-H219))</f>
        <v/>
      </c>
    </row>
    <row r="220" customFormat="false" ht="15" hidden="false" customHeight="false" outlineLevel="0" collapsed="false">
      <c r="A220" s="16"/>
      <c r="B220" s="17"/>
      <c r="C220" s="18"/>
      <c r="D220" s="18"/>
      <c r="E220" s="19" t="str">
        <f aca="false">IF(OR(C220="",D220=""),"",IF(D220&lt;=C220,"Check times",ROUND((D220-C220)*24,2)))</f>
        <v/>
      </c>
      <c r="F220" s="20" t="str">
        <f aca="false">IF(A220="","",A220-WEEKDAY(A220,3))</f>
        <v/>
      </c>
      <c r="G220" s="21"/>
      <c r="H220" s="19" t="str">
        <f aca="false">IF(OR(B220="",NOT(ISNUMBER(E220))),"",SUMIFS($E$6:$E$505,$B$6:$B$505,B220,$F$6:$F$505,F220,$A$6:$A$505,"&lt;="&amp;A220))</f>
        <v/>
      </c>
      <c r="I220" s="19" t="str">
        <f aca="false">IF(H220="","",MAX(0,Setup!$B$5-H220))</f>
        <v/>
      </c>
    </row>
    <row r="221" customFormat="false" ht="15" hidden="false" customHeight="false" outlineLevel="0" collapsed="false">
      <c r="A221" s="16"/>
      <c r="B221" s="17"/>
      <c r="C221" s="18"/>
      <c r="D221" s="18"/>
      <c r="E221" s="19" t="str">
        <f aca="false">IF(OR(C221="",D221=""),"",IF(D221&lt;=C221,"Check times",ROUND((D221-C221)*24,2)))</f>
        <v/>
      </c>
      <c r="F221" s="20" t="str">
        <f aca="false">IF(A221="","",A221-WEEKDAY(A221,3))</f>
        <v/>
      </c>
      <c r="G221" s="21"/>
      <c r="H221" s="19" t="str">
        <f aca="false">IF(OR(B221="",NOT(ISNUMBER(E221))),"",SUMIFS($E$6:$E$505,$B$6:$B$505,B221,$F$6:$F$505,F221,$A$6:$A$505,"&lt;="&amp;A221))</f>
        <v/>
      </c>
      <c r="I221" s="19" t="str">
        <f aca="false">IF(H221="","",MAX(0,Setup!$B$5-H221))</f>
        <v/>
      </c>
    </row>
    <row r="222" customFormat="false" ht="15" hidden="false" customHeight="false" outlineLevel="0" collapsed="false">
      <c r="A222" s="16"/>
      <c r="B222" s="17"/>
      <c r="C222" s="18"/>
      <c r="D222" s="18"/>
      <c r="E222" s="19" t="str">
        <f aca="false">IF(OR(C222="",D222=""),"",IF(D222&lt;=C222,"Check times",ROUND((D222-C222)*24,2)))</f>
        <v/>
      </c>
      <c r="F222" s="20" t="str">
        <f aca="false">IF(A222="","",A222-WEEKDAY(A222,3))</f>
        <v/>
      </c>
      <c r="G222" s="21"/>
      <c r="H222" s="19" t="str">
        <f aca="false">IF(OR(B222="",NOT(ISNUMBER(E222))),"",SUMIFS($E$6:$E$505,$B$6:$B$505,B222,$F$6:$F$505,F222,$A$6:$A$505,"&lt;="&amp;A222))</f>
        <v/>
      </c>
      <c r="I222" s="19" t="str">
        <f aca="false">IF(H222="","",MAX(0,Setup!$B$5-H222))</f>
        <v/>
      </c>
    </row>
    <row r="223" customFormat="false" ht="15" hidden="false" customHeight="false" outlineLevel="0" collapsed="false">
      <c r="A223" s="16"/>
      <c r="B223" s="17"/>
      <c r="C223" s="18"/>
      <c r="D223" s="18"/>
      <c r="E223" s="19" t="str">
        <f aca="false">IF(OR(C223="",D223=""),"",IF(D223&lt;=C223,"Check times",ROUND((D223-C223)*24,2)))</f>
        <v/>
      </c>
      <c r="F223" s="20" t="str">
        <f aca="false">IF(A223="","",A223-WEEKDAY(A223,3))</f>
        <v/>
      </c>
      <c r="G223" s="21"/>
      <c r="H223" s="19" t="str">
        <f aca="false">IF(OR(B223="",NOT(ISNUMBER(E223))),"",SUMIFS($E$6:$E$505,$B$6:$B$505,B223,$F$6:$F$505,F223,$A$6:$A$505,"&lt;="&amp;A223))</f>
        <v/>
      </c>
      <c r="I223" s="19" t="str">
        <f aca="false">IF(H223="","",MAX(0,Setup!$B$5-H223))</f>
        <v/>
      </c>
    </row>
    <row r="224" customFormat="false" ht="15" hidden="false" customHeight="false" outlineLevel="0" collapsed="false">
      <c r="A224" s="16"/>
      <c r="B224" s="17"/>
      <c r="C224" s="18"/>
      <c r="D224" s="18"/>
      <c r="E224" s="19" t="str">
        <f aca="false">IF(OR(C224="",D224=""),"",IF(D224&lt;=C224,"Check times",ROUND((D224-C224)*24,2)))</f>
        <v/>
      </c>
      <c r="F224" s="20" t="str">
        <f aca="false">IF(A224="","",A224-WEEKDAY(A224,3))</f>
        <v/>
      </c>
      <c r="G224" s="21"/>
      <c r="H224" s="19" t="str">
        <f aca="false">IF(OR(B224="",NOT(ISNUMBER(E224))),"",SUMIFS($E$6:$E$505,$B$6:$B$505,B224,$F$6:$F$505,F224,$A$6:$A$505,"&lt;="&amp;A224))</f>
        <v/>
      </c>
      <c r="I224" s="19" t="str">
        <f aca="false">IF(H224="","",MAX(0,Setup!$B$5-H224))</f>
        <v/>
      </c>
    </row>
    <row r="225" customFormat="false" ht="15" hidden="false" customHeight="false" outlineLevel="0" collapsed="false">
      <c r="A225" s="16"/>
      <c r="B225" s="17"/>
      <c r="C225" s="18"/>
      <c r="D225" s="18"/>
      <c r="E225" s="19" t="str">
        <f aca="false">IF(OR(C225="",D225=""),"",IF(D225&lt;=C225,"Check times",ROUND((D225-C225)*24,2)))</f>
        <v/>
      </c>
      <c r="F225" s="20" t="str">
        <f aca="false">IF(A225="","",A225-WEEKDAY(A225,3))</f>
        <v/>
      </c>
      <c r="G225" s="21"/>
      <c r="H225" s="19" t="str">
        <f aca="false">IF(OR(B225="",NOT(ISNUMBER(E225))),"",SUMIFS($E$6:$E$505,$B$6:$B$505,B225,$F$6:$F$505,F225,$A$6:$A$505,"&lt;="&amp;A225))</f>
        <v/>
      </c>
      <c r="I225" s="19" t="str">
        <f aca="false">IF(H225="","",MAX(0,Setup!$B$5-H225))</f>
        <v/>
      </c>
    </row>
    <row r="226" customFormat="false" ht="15" hidden="false" customHeight="false" outlineLevel="0" collapsed="false">
      <c r="A226" s="16"/>
      <c r="B226" s="17"/>
      <c r="C226" s="18"/>
      <c r="D226" s="18"/>
      <c r="E226" s="19" t="str">
        <f aca="false">IF(OR(C226="",D226=""),"",IF(D226&lt;=C226,"Check times",ROUND((D226-C226)*24,2)))</f>
        <v/>
      </c>
      <c r="F226" s="20" t="str">
        <f aca="false">IF(A226="","",A226-WEEKDAY(A226,3))</f>
        <v/>
      </c>
      <c r="G226" s="21"/>
      <c r="H226" s="19" t="str">
        <f aca="false">IF(OR(B226="",NOT(ISNUMBER(E226))),"",SUMIFS($E$6:$E$505,$B$6:$B$505,B226,$F$6:$F$505,F226,$A$6:$A$505,"&lt;="&amp;A226))</f>
        <v/>
      </c>
      <c r="I226" s="19" t="str">
        <f aca="false">IF(H226="","",MAX(0,Setup!$B$5-H226))</f>
        <v/>
      </c>
    </row>
    <row r="227" customFormat="false" ht="15" hidden="false" customHeight="false" outlineLevel="0" collapsed="false">
      <c r="A227" s="16"/>
      <c r="B227" s="17"/>
      <c r="C227" s="18"/>
      <c r="D227" s="18"/>
      <c r="E227" s="19" t="str">
        <f aca="false">IF(OR(C227="",D227=""),"",IF(D227&lt;=C227,"Check times",ROUND((D227-C227)*24,2)))</f>
        <v/>
      </c>
      <c r="F227" s="20" t="str">
        <f aca="false">IF(A227="","",A227-WEEKDAY(A227,3))</f>
        <v/>
      </c>
      <c r="G227" s="21"/>
      <c r="H227" s="19" t="str">
        <f aca="false">IF(OR(B227="",NOT(ISNUMBER(E227))),"",SUMIFS($E$6:$E$505,$B$6:$B$505,B227,$F$6:$F$505,F227,$A$6:$A$505,"&lt;="&amp;A227))</f>
        <v/>
      </c>
      <c r="I227" s="19" t="str">
        <f aca="false">IF(H227="","",MAX(0,Setup!$B$5-H227))</f>
        <v/>
      </c>
    </row>
    <row r="228" customFormat="false" ht="15" hidden="false" customHeight="false" outlineLevel="0" collapsed="false">
      <c r="A228" s="16"/>
      <c r="B228" s="17"/>
      <c r="C228" s="18"/>
      <c r="D228" s="18"/>
      <c r="E228" s="19" t="str">
        <f aca="false">IF(OR(C228="",D228=""),"",IF(D228&lt;=C228,"Check times",ROUND((D228-C228)*24,2)))</f>
        <v/>
      </c>
      <c r="F228" s="20" t="str">
        <f aca="false">IF(A228="","",A228-WEEKDAY(A228,3))</f>
        <v/>
      </c>
      <c r="G228" s="21"/>
      <c r="H228" s="19" t="str">
        <f aca="false">IF(OR(B228="",NOT(ISNUMBER(E228))),"",SUMIFS($E$6:$E$505,$B$6:$B$505,B228,$F$6:$F$505,F228,$A$6:$A$505,"&lt;="&amp;A228))</f>
        <v/>
      </c>
      <c r="I228" s="19" t="str">
        <f aca="false">IF(H228="","",MAX(0,Setup!$B$5-H228))</f>
        <v/>
      </c>
    </row>
    <row r="229" customFormat="false" ht="15" hidden="false" customHeight="false" outlineLevel="0" collapsed="false">
      <c r="A229" s="16"/>
      <c r="B229" s="17"/>
      <c r="C229" s="18"/>
      <c r="D229" s="18"/>
      <c r="E229" s="19" t="str">
        <f aca="false">IF(OR(C229="",D229=""),"",IF(D229&lt;=C229,"Check times",ROUND((D229-C229)*24,2)))</f>
        <v/>
      </c>
      <c r="F229" s="20" t="str">
        <f aca="false">IF(A229="","",A229-WEEKDAY(A229,3))</f>
        <v/>
      </c>
      <c r="G229" s="21"/>
      <c r="H229" s="19" t="str">
        <f aca="false">IF(OR(B229="",NOT(ISNUMBER(E229))),"",SUMIFS($E$6:$E$505,$B$6:$B$505,B229,$F$6:$F$505,F229,$A$6:$A$505,"&lt;="&amp;A229))</f>
        <v/>
      </c>
      <c r="I229" s="19" t="str">
        <f aca="false">IF(H229="","",MAX(0,Setup!$B$5-H229))</f>
        <v/>
      </c>
    </row>
    <row r="230" customFormat="false" ht="15" hidden="false" customHeight="false" outlineLevel="0" collapsed="false">
      <c r="A230" s="16"/>
      <c r="B230" s="17"/>
      <c r="C230" s="18"/>
      <c r="D230" s="18"/>
      <c r="E230" s="19" t="str">
        <f aca="false">IF(OR(C230="",D230=""),"",IF(D230&lt;=C230,"Check times",ROUND((D230-C230)*24,2)))</f>
        <v/>
      </c>
      <c r="F230" s="20" t="str">
        <f aca="false">IF(A230="","",A230-WEEKDAY(A230,3))</f>
        <v/>
      </c>
      <c r="G230" s="21"/>
      <c r="H230" s="19" t="str">
        <f aca="false">IF(OR(B230="",NOT(ISNUMBER(E230))),"",SUMIFS($E$6:$E$505,$B$6:$B$505,B230,$F$6:$F$505,F230,$A$6:$A$505,"&lt;="&amp;A230))</f>
        <v/>
      </c>
      <c r="I230" s="19" t="str">
        <f aca="false">IF(H230="","",MAX(0,Setup!$B$5-H230))</f>
        <v/>
      </c>
    </row>
    <row r="231" customFormat="false" ht="15" hidden="false" customHeight="false" outlineLevel="0" collapsed="false">
      <c r="A231" s="16"/>
      <c r="B231" s="17"/>
      <c r="C231" s="18"/>
      <c r="D231" s="18"/>
      <c r="E231" s="19" t="str">
        <f aca="false">IF(OR(C231="",D231=""),"",IF(D231&lt;=C231,"Check times",ROUND((D231-C231)*24,2)))</f>
        <v/>
      </c>
      <c r="F231" s="20" t="str">
        <f aca="false">IF(A231="","",A231-WEEKDAY(A231,3))</f>
        <v/>
      </c>
      <c r="G231" s="21"/>
      <c r="H231" s="19" t="str">
        <f aca="false">IF(OR(B231="",NOT(ISNUMBER(E231))),"",SUMIFS($E$6:$E$505,$B$6:$B$505,B231,$F$6:$F$505,F231,$A$6:$A$505,"&lt;="&amp;A231))</f>
        <v/>
      </c>
      <c r="I231" s="19" t="str">
        <f aca="false">IF(H231="","",MAX(0,Setup!$B$5-H231))</f>
        <v/>
      </c>
    </row>
    <row r="232" customFormat="false" ht="15" hidden="false" customHeight="false" outlineLevel="0" collapsed="false">
      <c r="A232" s="16"/>
      <c r="B232" s="17"/>
      <c r="C232" s="18"/>
      <c r="D232" s="18"/>
      <c r="E232" s="19" t="str">
        <f aca="false">IF(OR(C232="",D232=""),"",IF(D232&lt;=C232,"Check times",ROUND((D232-C232)*24,2)))</f>
        <v/>
      </c>
      <c r="F232" s="20" t="str">
        <f aca="false">IF(A232="","",A232-WEEKDAY(A232,3))</f>
        <v/>
      </c>
      <c r="G232" s="21"/>
      <c r="H232" s="19" t="str">
        <f aca="false">IF(OR(B232="",NOT(ISNUMBER(E232))),"",SUMIFS($E$6:$E$505,$B$6:$B$505,B232,$F$6:$F$505,F232,$A$6:$A$505,"&lt;="&amp;A232))</f>
        <v/>
      </c>
      <c r="I232" s="19" t="str">
        <f aca="false">IF(H232="","",MAX(0,Setup!$B$5-H232))</f>
        <v/>
      </c>
    </row>
    <row r="233" customFormat="false" ht="15" hidden="false" customHeight="false" outlineLevel="0" collapsed="false">
      <c r="A233" s="16"/>
      <c r="B233" s="17"/>
      <c r="C233" s="18"/>
      <c r="D233" s="18"/>
      <c r="E233" s="19" t="str">
        <f aca="false">IF(OR(C233="",D233=""),"",IF(D233&lt;=C233,"Check times",ROUND((D233-C233)*24,2)))</f>
        <v/>
      </c>
      <c r="F233" s="20" t="str">
        <f aca="false">IF(A233="","",A233-WEEKDAY(A233,3))</f>
        <v/>
      </c>
      <c r="G233" s="21"/>
      <c r="H233" s="19" t="str">
        <f aca="false">IF(OR(B233="",NOT(ISNUMBER(E233))),"",SUMIFS($E$6:$E$505,$B$6:$B$505,B233,$F$6:$F$505,F233,$A$6:$A$505,"&lt;="&amp;A233))</f>
        <v/>
      </c>
      <c r="I233" s="19" t="str">
        <f aca="false">IF(H233="","",MAX(0,Setup!$B$5-H233))</f>
        <v/>
      </c>
    </row>
    <row r="234" customFormat="false" ht="15" hidden="false" customHeight="false" outlineLevel="0" collapsed="false">
      <c r="A234" s="16"/>
      <c r="B234" s="17"/>
      <c r="C234" s="18"/>
      <c r="D234" s="18"/>
      <c r="E234" s="19" t="str">
        <f aca="false">IF(OR(C234="",D234=""),"",IF(D234&lt;=C234,"Check times",ROUND((D234-C234)*24,2)))</f>
        <v/>
      </c>
      <c r="F234" s="20" t="str">
        <f aca="false">IF(A234="","",A234-WEEKDAY(A234,3))</f>
        <v/>
      </c>
      <c r="G234" s="21"/>
      <c r="H234" s="19" t="str">
        <f aca="false">IF(OR(B234="",NOT(ISNUMBER(E234))),"",SUMIFS($E$6:$E$505,$B$6:$B$505,B234,$F$6:$F$505,F234,$A$6:$A$505,"&lt;="&amp;A234))</f>
        <v/>
      </c>
      <c r="I234" s="19" t="str">
        <f aca="false">IF(H234="","",MAX(0,Setup!$B$5-H234))</f>
        <v/>
      </c>
    </row>
    <row r="235" customFormat="false" ht="15" hidden="false" customHeight="false" outlineLevel="0" collapsed="false">
      <c r="A235" s="16"/>
      <c r="B235" s="17"/>
      <c r="C235" s="18"/>
      <c r="D235" s="18"/>
      <c r="E235" s="19" t="str">
        <f aca="false">IF(OR(C235="",D235=""),"",IF(D235&lt;=C235,"Check times",ROUND((D235-C235)*24,2)))</f>
        <v/>
      </c>
      <c r="F235" s="20" t="str">
        <f aca="false">IF(A235="","",A235-WEEKDAY(A235,3))</f>
        <v/>
      </c>
      <c r="G235" s="21"/>
      <c r="H235" s="19" t="str">
        <f aca="false">IF(OR(B235="",NOT(ISNUMBER(E235))),"",SUMIFS($E$6:$E$505,$B$6:$B$505,B235,$F$6:$F$505,F235,$A$6:$A$505,"&lt;="&amp;A235))</f>
        <v/>
      </c>
      <c r="I235" s="19" t="str">
        <f aca="false">IF(H235="","",MAX(0,Setup!$B$5-H235))</f>
        <v/>
      </c>
    </row>
    <row r="236" customFormat="false" ht="15" hidden="false" customHeight="false" outlineLevel="0" collapsed="false">
      <c r="A236" s="16"/>
      <c r="B236" s="17"/>
      <c r="C236" s="18"/>
      <c r="D236" s="18"/>
      <c r="E236" s="19" t="str">
        <f aca="false">IF(OR(C236="",D236=""),"",IF(D236&lt;=C236,"Check times",ROUND((D236-C236)*24,2)))</f>
        <v/>
      </c>
      <c r="F236" s="20" t="str">
        <f aca="false">IF(A236="","",A236-WEEKDAY(A236,3))</f>
        <v/>
      </c>
      <c r="G236" s="21"/>
      <c r="H236" s="19" t="str">
        <f aca="false">IF(OR(B236="",NOT(ISNUMBER(E236))),"",SUMIFS($E$6:$E$505,$B$6:$B$505,B236,$F$6:$F$505,F236,$A$6:$A$505,"&lt;="&amp;A236))</f>
        <v/>
      </c>
      <c r="I236" s="19" t="str">
        <f aca="false">IF(H236="","",MAX(0,Setup!$B$5-H236))</f>
        <v/>
      </c>
    </row>
    <row r="237" customFormat="false" ht="15" hidden="false" customHeight="false" outlineLevel="0" collapsed="false">
      <c r="A237" s="16"/>
      <c r="B237" s="17"/>
      <c r="C237" s="18"/>
      <c r="D237" s="18"/>
      <c r="E237" s="19" t="str">
        <f aca="false">IF(OR(C237="",D237=""),"",IF(D237&lt;=C237,"Check times",ROUND((D237-C237)*24,2)))</f>
        <v/>
      </c>
      <c r="F237" s="20" t="str">
        <f aca="false">IF(A237="","",A237-WEEKDAY(A237,3))</f>
        <v/>
      </c>
      <c r="G237" s="21"/>
      <c r="H237" s="19" t="str">
        <f aca="false">IF(OR(B237="",NOT(ISNUMBER(E237))),"",SUMIFS($E$6:$E$505,$B$6:$B$505,B237,$F$6:$F$505,F237,$A$6:$A$505,"&lt;="&amp;A237))</f>
        <v/>
      </c>
      <c r="I237" s="19" t="str">
        <f aca="false">IF(H237="","",MAX(0,Setup!$B$5-H237))</f>
        <v/>
      </c>
    </row>
    <row r="238" customFormat="false" ht="15" hidden="false" customHeight="false" outlineLevel="0" collapsed="false">
      <c r="A238" s="16"/>
      <c r="B238" s="17"/>
      <c r="C238" s="18"/>
      <c r="D238" s="18"/>
      <c r="E238" s="19" t="str">
        <f aca="false">IF(OR(C238="",D238=""),"",IF(D238&lt;=C238,"Check times",ROUND((D238-C238)*24,2)))</f>
        <v/>
      </c>
      <c r="F238" s="20" t="str">
        <f aca="false">IF(A238="","",A238-WEEKDAY(A238,3))</f>
        <v/>
      </c>
      <c r="G238" s="21"/>
      <c r="H238" s="19" t="str">
        <f aca="false">IF(OR(B238="",NOT(ISNUMBER(E238))),"",SUMIFS($E$6:$E$505,$B$6:$B$505,B238,$F$6:$F$505,F238,$A$6:$A$505,"&lt;="&amp;A238))</f>
        <v/>
      </c>
      <c r="I238" s="19" t="str">
        <f aca="false">IF(H238="","",MAX(0,Setup!$B$5-H238))</f>
        <v/>
      </c>
    </row>
    <row r="239" customFormat="false" ht="15" hidden="false" customHeight="false" outlineLevel="0" collapsed="false">
      <c r="A239" s="16"/>
      <c r="B239" s="17"/>
      <c r="C239" s="18"/>
      <c r="D239" s="18"/>
      <c r="E239" s="19" t="str">
        <f aca="false">IF(OR(C239="",D239=""),"",IF(D239&lt;=C239,"Check times",ROUND((D239-C239)*24,2)))</f>
        <v/>
      </c>
      <c r="F239" s="20" t="str">
        <f aca="false">IF(A239="","",A239-WEEKDAY(A239,3))</f>
        <v/>
      </c>
      <c r="G239" s="21"/>
      <c r="H239" s="19" t="str">
        <f aca="false">IF(OR(B239="",NOT(ISNUMBER(E239))),"",SUMIFS($E$6:$E$505,$B$6:$B$505,B239,$F$6:$F$505,F239,$A$6:$A$505,"&lt;="&amp;A239))</f>
        <v/>
      </c>
      <c r="I239" s="19" t="str">
        <f aca="false">IF(H239="","",MAX(0,Setup!$B$5-H239))</f>
        <v/>
      </c>
    </row>
    <row r="240" customFormat="false" ht="15" hidden="false" customHeight="false" outlineLevel="0" collapsed="false">
      <c r="A240" s="16"/>
      <c r="B240" s="17"/>
      <c r="C240" s="18"/>
      <c r="D240" s="18"/>
      <c r="E240" s="19" t="str">
        <f aca="false">IF(OR(C240="",D240=""),"",IF(D240&lt;=C240,"Check times",ROUND((D240-C240)*24,2)))</f>
        <v/>
      </c>
      <c r="F240" s="20" t="str">
        <f aca="false">IF(A240="","",A240-WEEKDAY(A240,3))</f>
        <v/>
      </c>
      <c r="G240" s="21"/>
      <c r="H240" s="19" t="str">
        <f aca="false">IF(OR(B240="",NOT(ISNUMBER(E240))),"",SUMIFS($E$6:$E$505,$B$6:$B$505,B240,$F$6:$F$505,F240,$A$6:$A$505,"&lt;="&amp;A240))</f>
        <v/>
      </c>
      <c r="I240" s="19" t="str">
        <f aca="false">IF(H240="","",MAX(0,Setup!$B$5-H240))</f>
        <v/>
      </c>
    </row>
    <row r="241" customFormat="false" ht="15" hidden="false" customHeight="false" outlineLevel="0" collapsed="false">
      <c r="A241" s="16"/>
      <c r="B241" s="17"/>
      <c r="C241" s="18"/>
      <c r="D241" s="18"/>
      <c r="E241" s="19" t="str">
        <f aca="false">IF(OR(C241="",D241=""),"",IF(D241&lt;=C241,"Check times",ROUND((D241-C241)*24,2)))</f>
        <v/>
      </c>
      <c r="F241" s="20" t="str">
        <f aca="false">IF(A241="","",A241-WEEKDAY(A241,3))</f>
        <v/>
      </c>
      <c r="G241" s="21"/>
      <c r="H241" s="19" t="str">
        <f aca="false">IF(OR(B241="",NOT(ISNUMBER(E241))),"",SUMIFS($E$6:$E$505,$B$6:$B$505,B241,$F$6:$F$505,F241,$A$6:$A$505,"&lt;="&amp;A241))</f>
        <v/>
      </c>
      <c r="I241" s="19" t="str">
        <f aca="false">IF(H241="","",MAX(0,Setup!$B$5-H241))</f>
        <v/>
      </c>
    </row>
    <row r="242" customFormat="false" ht="15" hidden="false" customHeight="false" outlineLevel="0" collapsed="false">
      <c r="A242" s="16"/>
      <c r="B242" s="17"/>
      <c r="C242" s="18"/>
      <c r="D242" s="18"/>
      <c r="E242" s="19" t="str">
        <f aca="false">IF(OR(C242="",D242=""),"",IF(D242&lt;=C242,"Check times",ROUND((D242-C242)*24,2)))</f>
        <v/>
      </c>
      <c r="F242" s="20" t="str">
        <f aca="false">IF(A242="","",A242-WEEKDAY(A242,3))</f>
        <v/>
      </c>
      <c r="G242" s="21"/>
      <c r="H242" s="19" t="str">
        <f aca="false">IF(OR(B242="",NOT(ISNUMBER(E242))),"",SUMIFS($E$6:$E$505,$B$6:$B$505,B242,$F$6:$F$505,F242,$A$6:$A$505,"&lt;="&amp;A242))</f>
        <v/>
      </c>
      <c r="I242" s="19" t="str">
        <f aca="false">IF(H242="","",MAX(0,Setup!$B$5-H242))</f>
        <v/>
      </c>
    </row>
    <row r="243" customFormat="false" ht="15" hidden="false" customHeight="false" outlineLevel="0" collapsed="false">
      <c r="A243" s="16"/>
      <c r="B243" s="17"/>
      <c r="C243" s="18"/>
      <c r="D243" s="18"/>
      <c r="E243" s="19" t="str">
        <f aca="false">IF(OR(C243="",D243=""),"",IF(D243&lt;=C243,"Check times",ROUND((D243-C243)*24,2)))</f>
        <v/>
      </c>
      <c r="F243" s="20" t="str">
        <f aca="false">IF(A243="","",A243-WEEKDAY(A243,3))</f>
        <v/>
      </c>
      <c r="G243" s="21"/>
      <c r="H243" s="19" t="str">
        <f aca="false">IF(OR(B243="",NOT(ISNUMBER(E243))),"",SUMIFS($E$6:$E$505,$B$6:$B$505,B243,$F$6:$F$505,F243,$A$6:$A$505,"&lt;="&amp;A243))</f>
        <v/>
      </c>
      <c r="I243" s="19" t="str">
        <f aca="false">IF(H243="","",MAX(0,Setup!$B$5-H243))</f>
        <v/>
      </c>
    </row>
    <row r="244" customFormat="false" ht="15" hidden="false" customHeight="false" outlineLevel="0" collapsed="false">
      <c r="A244" s="16"/>
      <c r="B244" s="17"/>
      <c r="C244" s="18"/>
      <c r="D244" s="18"/>
      <c r="E244" s="19" t="str">
        <f aca="false">IF(OR(C244="",D244=""),"",IF(D244&lt;=C244,"Check times",ROUND((D244-C244)*24,2)))</f>
        <v/>
      </c>
      <c r="F244" s="20" t="str">
        <f aca="false">IF(A244="","",A244-WEEKDAY(A244,3))</f>
        <v/>
      </c>
      <c r="G244" s="21"/>
      <c r="H244" s="19" t="str">
        <f aca="false">IF(OR(B244="",NOT(ISNUMBER(E244))),"",SUMIFS($E$6:$E$505,$B$6:$B$505,B244,$F$6:$F$505,F244,$A$6:$A$505,"&lt;="&amp;A244))</f>
        <v/>
      </c>
      <c r="I244" s="19" t="str">
        <f aca="false">IF(H244="","",MAX(0,Setup!$B$5-H244))</f>
        <v/>
      </c>
    </row>
    <row r="245" customFormat="false" ht="15" hidden="false" customHeight="false" outlineLevel="0" collapsed="false">
      <c r="A245" s="16"/>
      <c r="B245" s="17"/>
      <c r="C245" s="18"/>
      <c r="D245" s="18"/>
      <c r="E245" s="19" t="str">
        <f aca="false">IF(OR(C245="",D245=""),"",IF(D245&lt;=C245,"Check times",ROUND((D245-C245)*24,2)))</f>
        <v/>
      </c>
      <c r="F245" s="20" t="str">
        <f aca="false">IF(A245="","",A245-WEEKDAY(A245,3))</f>
        <v/>
      </c>
      <c r="G245" s="21"/>
      <c r="H245" s="19" t="str">
        <f aca="false">IF(OR(B245="",NOT(ISNUMBER(E245))),"",SUMIFS($E$6:$E$505,$B$6:$B$505,B245,$F$6:$F$505,F245,$A$6:$A$505,"&lt;="&amp;A245))</f>
        <v/>
      </c>
      <c r="I245" s="19" t="str">
        <f aca="false">IF(H245="","",MAX(0,Setup!$B$5-H245))</f>
        <v/>
      </c>
    </row>
    <row r="246" customFormat="false" ht="15" hidden="false" customHeight="false" outlineLevel="0" collapsed="false">
      <c r="A246" s="16"/>
      <c r="B246" s="17"/>
      <c r="C246" s="18"/>
      <c r="D246" s="18"/>
      <c r="E246" s="19" t="str">
        <f aca="false">IF(OR(C246="",D246=""),"",IF(D246&lt;=C246,"Check times",ROUND((D246-C246)*24,2)))</f>
        <v/>
      </c>
      <c r="F246" s="20" t="str">
        <f aca="false">IF(A246="","",A246-WEEKDAY(A246,3))</f>
        <v/>
      </c>
      <c r="G246" s="21"/>
      <c r="H246" s="19" t="str">
        <f aca="false">IF(OR(B246="",NOT(ISNUMBER(E246))),"",SUMIFS($E$6:$E$505,$B$6:$B$505,B246,$F$6:$F$505,F246,$A$6:$A$505,"&lt;="&amp;A246))</f>
        <v/>
      </c>
      <c r="I246" s="19" t="str">
        <f aca="false">IF(H246="","",MAX(0,Setup!$B$5-H246))</f>
        <v/>
      </c>
    </row>
    <row r="247" customFormat="false" ht="15" hidden="false" customHeight="false" outlineLevel="0" collapsed="false">
      <c r="A247" s="16"/>
      <c r="B247" s="17"/>
      <c r="C247" s="18"/>
      <c r="D247" s="18"/>
      <c r="E247" s="19" t="str">
        <f aca="false">IF(OR(C247="",D247=""),"",IF(D247&lt;=C247,"Check times",ROUND((D247-C247)*24,2)))</f>
        <v/>
      </c>
      <c r="F247" s="20" t="str">
        <f aca="false">IF(A247="","",A247-WEEKDAY(A247,3))</f>
        <v/>
      </c>
      <c r="G247" s="21"/>
      <c r="H247" s="19" t="str">
        <f aca="false">IF(OR(B247="",NOT(ISNUMBER(E247))),"",SUMIFS($E$6:$E$505,$B$6:$B$505,B247,$F$6:$F$505,F247,$A$6:$A$505,"&lt;="&amp;A247))</f>
        <v/>
      </c>
      <c r="I247" s="19" t="str">
        <f aca="false">IF(H247="","",MAX(0,Setup!$B$5-H247))</f>
        <v/>
      </c>
    </row>
    <row r="248" customFormat="false" ht="15" hidden="false" customHeight="false" outlineLevel="0" collapsed="false">
      <c r="A248" s="16"/>
      <c r="B248" s="17"/>
      <c r="C248" s="18"/>
      <c r="D248" s="18"/>
      <c r="E248" s="19" t="str">
        <f aca="false">IF(OR(C248="",D248=""),"",IF(D248&lt;=C248,"Check times",ROUND((D248-C248)*24,2)))</f>
        <v/>
      </c>
      <c r="F248" s="20" t="str">
        <f aca="false">IF(A248="","",A248-WEEKDAY(A248,3))</f>
        <v/>
      </c>
      <c r="G248" s="21"/>
      <c r="H248" s="19" t="str">
        <f aca="false">IF(OR(B248="",NOT(ISNUMBER(E248))),"",SUMIFS($E$6:$E$505,$B$6:$B$505,B248,$F$6:$F$505,F248,$A$6:$A$505,"&lt;="&amp;A248))</f>
        <v/>
      </c>
      <c r="I248" s="19" t="str">
        <f aca="false">IF(H248="","",MAX(0,Setup!$B$5-H248))</f>
        <v/>
      </c>
    </row>
    <row r="249" customFormat="false" ht="15" hidden="false" customHeight="false" outlineLevel="0" collapsed="false">
      <c r="A249" s="16"/>
      <c r="B249" s="17"/>
      <c r="C249" s="18"/>
      <c r="D249" s="18"/>
      <c r="E249" s="19" t="str">
        <f aca="false">IF(OR(C249="",D249=""),"",IF(D249&lt;=C249,"Check times",ROUND((D249-C249)*24,2)))</f>
        <v/>
      </c>
      <c r="F249" s="20" t="str">
        <f aca="false">IF(A249="","",A249-WEEKDAY(A249,3))</f>
        <v/>
      </c>
      <c r="G249" s="21"/>
      <c r="H249" s="19" t="str">
        <f aca="false">IF(OR(B249="",NOT(ISNUMBER(E249))),"",SUMIFS($E$6:$E$505,$B$6:$B$505,B249,$F$6:$F$505,F249,$A$6:$A$505,"&lt;="&amp;A249))</f>
        <v/>
      </c>
      <c r="I249" s="19" t="str">
        <f aca="false">IF(H249="","",MAX(0,Setup!$B$5-H249))</f>
        <v/>
      </c>
    </row>
    <row r="250" customFormat="false" ht="15" hidden="false" customHeight="false" outlineLevel="0" collapsed="false">
      <c r="A250" s="16"/>
      <c r="B250" s="17"/>
      <c r="C250" s="18"/>
      <c r="D250" s="18"/>
      <c r="E250" s="19" t="str">
        <f aca="false">IF(OR(C250="",D250=""),"",IF(D250&lt;=C250,"Check times",ROUND((D250-C250)*24,2)))</f>
        <v/>
      </c>
      <c r="F250" s="20" t="str">
        <f aca="false">IF(A250="","",A250-WEEKDAY(A250,3))</f>
        <v/>
      </c>
      <c r="G250" s="21"/>
      <c r="H250" s="19" t="str">
        <f aca="false">IF(OR(B250="",NOT(ISNUMBER(E250))),"",SUMIFS($E$6:$E$505,$B$6:$B$505,B250,$F$6:$F$505,F250,$A$6:$A$505,"&lt;="&amp;A250))</f>
        <v/>
      </c>
      <c r="I250" s="19" t="str">
        <f aca="false">IF(H250="","",MAX(0,Setup!$B$5-H250))</f>
        <v/>
      </c>
    </row>
    <row r="251" customFormat="false" ht="15" hidden="false" customHeight="false" outlineLevel="0" collapsed="false">
      <c r="A251" s="16"/>
      <c r="B251" s="17"/>
      <c r="C251" s="18"/>
      <c r="D251" s="18"/>
      <c r="E251" s="19" t="str">
        <f aca="false">IF(OR(C251="",D251=""),"",IF(D251&lt;=C251,"Check times",ROUND((D251-C251)*24,2)))</f>
        <v/>
      </c>
      <c r="F251" s="20" t="str">
        <f aca="false">IF(A251="","",A251-WEEKDAY(A251,3))</f>
        <v/>
      </c>
      <c r="G251" s="21"/>
      <c r="H251" s="19" t="str">
        <f aca="false">IF(OR(B251="",NOT(ISNUMBER(E251))),"",SUMIFS($E$6:$E$505,$B$6:$B$505,B251,$F$6:$F$505,F251,$A$6:$A$505,"&lt;="&amp;A251))</f>
        <v/>
      </c>
      <c r="I251" s="19" t="str">
        <f aca="false">IF(H251="","",MAX(0,Setup!$B$5-H251))</f>
        <v/>
      </c>
    </row>
    <row r="252" customFormat="false" ht="15" hidden="false" customHeight="false" outlineLevel="0" collapsed="false">
      <c r="A252" s="16"/>
      <c r="B252" s="17"/>
      <c r="C252" s="18"/>
      <c r="D252" s="18"/>
      <c r="E252" s="19" t="str">
        <f aca="false">IF(OR(C252="",D252=""),"",IF(D252&lt;=C252,"Check times",ROUND((D252-C252)*24,2)))</f>
        <v/>
      </c>
      <c r="F252" s="20" t="str">
        <f aca="false">IF(A252="","",A252-WEEKDAY(A252,3))</f>
        <v/>
      </c>
      <c r="G252" s="21"/>
      <c r="H252" s="19" t="str">
        <f aca="false">IF(OR(B252="",NOT(ISNUMBER(E252))),"",SUMIFS($E$6:$E$505,$B$6:$B$505,B252,$F$6:$F$505,F252,$A$6:$A$505,"&lt;="&amp;A252))</f>
        <v/>
      </c>
      <c r="I252" s="19" t="str">
        <f aca="false">IF(H252="","",MAX(0,Setup!$B$5-H252))</f>
        <v/>
      </c>
    </row>
    <row r="253" customFormat="false" ht="15" hidden="false" customHeight="false" outlineLevel="0" collapsed="false">
      <c r="A253" s="16"/>
      <c r="B253" s="17"/>
      <c r="C253" s="18"/>
      <c r="D253" s="18"/>
      <c r="E253" s="19" t="str">
        <f aca="false">IF(OR(C253="",D253=""),"",IF(D253&lt;=C253,"Check times",ROUND((D253-C253)*24,2)))</f>
        <v/>
      </c>
      <c r="F253" s="20" t="str">
        <f aca="false">IF(A253="","",A253-WEEKDAY(A253,3))</f>
        <v/>
      </c>
      <c r="G253" s="21"/>
      <c r="H253" s="19" t="str">
        <f aca="false">IF(OR(B253="",NOT(ISNUMBER(E253))),"",SUMIFS($E$6:$E$505,$B$6:$B$505,B253,$F$6:$F$505,F253,$A$6:$A$505,"&lt;="&amp;A253))</f>
        <v/>
      </c>
      <c r="I253" s="19" t="str">
        <f aca="false">IF(H253="","",MAX(0,Setup!$B$5-H253))</f>
        <v/>
      </c>
    </row>
    <row r="254" customFormat="false" ht="15" hidden="false" customHeight="false" outlineLevel="0" collapsed="false">
      <c r="A254" s="16"/>
      <c r="B254" s="17"/>
      <c r="C254" s="18"/>
      <c r="D254" s="18"/>
      <c r="E254" s="19" t="str">
        <f aca="false">IF(OR(C254="",D254=""),"",IF(D254&lt;=C254,"Check times",ROUND((D254-C254)*24,2)))</f>
        <v/>
      </c>
      <c r="F254" s="20" t="str">
        <f aca="false">IF(A254="","",A254-WEEKDAY(A254,3))</f>
        <v/>
      </c>
      <c r="G254" s="21"/>
      <c r="H254" s="19" t="str">
        <f aca="false">IF(OR(B254="",NOT(ISNUMBER(E254))),"",SUMIFS($E$6:$E$505,$B$6:$B$505,B254,$F$6:$F$505,F254,$A$6:$A$505,"&lt;="&amp;A254))</f>
        <v/>
      </c>
      <c r="I254" s="19" t="str">
        <f aca="false">IF(H254="","",MAX(0,Setup!$B$5-H254))</f>
        <v/>
      </c>
    </row>
    <row r="255" customFormat="false" ht="15" hidden="false" customHeight="false" outlineLevel="0" collapsed="false">
      <c r="A255" s="16"/>
      <c r="B255" s="17"/>
      <c r="C255" s="18"/>
      <c r="D255" s="18"/>
      <c r="E255" s="19" t="str">
        <f aca="false">IF(OR(C255="",D255=""),"",IF(D255&lt;=C255,"Check times",ROUND((D255-C255)*24,2)))</f>
        <v/>
      </c>
      <c r="F255" s="20" t="str">
        <f aca="false">IF(A255="","",A255-WEEKDAY(A255,3))</f>
        <v/>
      </c>
      <c r="G255" s="21"/>
      <c r="H255" s="19" t="str">
        <f aca="false">IF(OR(B255="",NOT(ISNUMBER(E255))),"",SUMIFS($E$6:$E$505,$B$6:$B$505,B255,$F$6:$F$505,F255,$A$6:$A$505,"&lt;="&amp;A255))</f>
        <v/>
      </c>
      <c r="I255" s="19" t="str">
        <f aca="false">IF(H255="","",MAX(0,Setup!$B$5-H255))</f>
        <v/>
      </c>
    </row>
    <row r="256" customFormat="false" ht="15" hidden="false" customHeight="false" outlineLevel="0" collapsed="false">
      <c r="A256" s="16"/>
      <c r="B256" s="17"/>
      <c r="C256" s="18"/>
      <c r="D256" s="18"/>
      <c r="E256" s="19" t="str">
        <f aca="false">IF(OR(C256="",D256=""),"",IF(D256&lt;=C256,"Check times",ROUND((D256-C256)*24,2)))</f>
        <v/>
      </c>
      <c r="F256" s="20" t="str">
        <f aca="false">IF(A256="","",A256-WEEKDAY(A256,3))</f>
        <v/>
      </c>
      <c r="G256" s="21"/>
      <c r="H256" s="19" t="str">
        <f aca="false">IF(OR(B256="",NOT(ISNUMBER(E256))),"",SUMIFS($E$6:$E$505,$B$6:$B$505,B256,$F$6:$F$505,F256,$A$6:$A$505,"&lt;="&amp;A256))</f>
        <v/>
      </c>
      <c r="I256" s="19" t="str">
        <f aca="false">IF(H256="","",MAX(0,Setup!$B$5-H256))</f>
        <v/>
      </c>
    </row>
    <row r="257" customFormat="false" ht="15" hidden="false" customHeight="false" outlineLevel="0" collapsed="false">
      <c r="A257" s="16"/>
      <c r="B257" s="17"/>
      <c r="C257" s="18"/>
      <c r="D257" s="18"/>
      <c r="E257" s="19" t="str">
        <f aca="false">IF(OR(C257="",D257=""),"",IF(D257&lt;=C257,"Check times",ROUND((D257-C257)*24,2)))</f>
        <v/>
      </c>
      <c r="F257" s="20" t="str">
        <f aca="false">IF(A257="","",A257-WEEKDAY(A257,3))</f>
        <v/>
      </c>
      <c r="G257" s="21"/>
      <c r="H257" s="19" t="str">
        <f aca="false">IF(OR(B257="",NOT(ISNUMBER(E257))),"",SUMIFS($E$6:$E$505,$B$6:$B$505,B257,$F$6:$F$505,F257,$A$6:$A$505,"&lt;="&amp;A257))</f>
        <v/>
      </c>
      <c r="I257" s="19" t="str">
        <f aca="false">IF(H257="","",MAX(0,Setup!$B$5-H257))</f>
        <v/>
      </c>
    </row>
    <row r="258" customFormat="false" ht="15" hidden="false" customHeight="false" outlineLevel="0" collapsed="false">
      <c r="A258" s="16"/>
      <c r="B258" s="17"/>
      <c r="C258" s="18"/>
      <c r="D258" s="18"/>
      <c r="E258" s="19" t="str">
        <f aca="false">IF(OR(C258="",D258=""),"",IF(D258&lt;=C258,"Check times",ROUND((D258-C258)*24,2)))</f>
        <v/>
      </c>
      <c r="F258" s="20" t="str">
        <f aca="false">IF(A258="","",A258-WEEKDAY(A258,3))</f>
        <v/>
      </c>
      <c r="G258" s="21"/>
      <c r="H258" s="19" t="str">
        <f aca="false">IF(OR(B258="",NOT(ISNUMBER(E258))),"",SUMIFS($E$6:$E$505,$B$6:$B$505,B258,$F$6:$F$505,F258,$A$6:$A$505,"&lt;="&amp;A258))</f>
        <v/>
      </c>
      <c r="I258" s="19" t="str">
        <f aca="false">IF(H258="","",MAX(0,Setup!$B$5-H258))</f>
        <v/>
      </c>
    </row>
    <row r="259" customFormat="false" ht="15" hidden="false" customHeight="false" outlineLevel="0" collapsed="false">
      <c r="A259" s="16"/>
      <c r="B259" s="17"/>
      <c r="C259" s="18"/>
      <c r="D259" s="18"/>
      <c r="E259" s="19" t="str">
        <f aca="false">IF(OR(C259="",D259=""),"",IF(D259&lt;=C259,"Check times",ROUND((D259-C259)*24,2)))</f>
        <v/>
      </c>
      <c r="F259" s="20" t="str">
        <f aca="false">IF(A259="","",A259-WEEKDAY(A259,3))</f>
        <v/>
      </c>
      <c r="G259" s="21"/>
      <c r="H259" s="19" t="str">
        <f aca="false">IF(OR(B259="",NOT(ISNUMBER(E259))),"",SUMIFS($E$6:$E$505,$B$6:$B$505,B259,$F$6:$F$505,F259,$A$6:$A$505,"&lt;="&amp;A259))</f>
        <v/>
      </c>
      <c r="I259" s="19" t="str">
        <f aca="false">IF(H259="","",MAX(0,Setup!$B$5-H259))</f>
        <v/>
      </c>
    </row>
    <row r="260" customFormat="false" ht="15" hidden="false" customHeight="false" outlineLevel="0" collapsed="false">
      <c r="A260" s="16"/>
      <c r="B260" s="17"/>
      <c r="C260" s="18"/>
      <c r="D260" s="18"/>
      <c r="E260" s="19" t="str">
        <f aca="false">IF(OR(C260="",D260=""),"",IF(D260&lt;=C260,"Check times",ROUND((D260-C260)*24,2)))</f>
        <v/>
      </c>
      <c r="F260" s="20" t="str">
        <f aca="false">IF(A260="","",A260-WEEKDAY(A260,3))</f>
        <v/>
      </c>
      <c r="G260" s="21"/>
      <c r="H260" s="19" t="str">
        <f aca="false">IF(OR(B260="",NOT(ISNUMBER(E260))),"",SUMIFS($E$6:$E$505,$B$6:$B$505,B260,$F$6:$F$505,F260,$A$6:$A$505,"&lt;="&amp;A260))</f>
        <v/>
      </c>
      <c r="I260" s="19" t="str">
        <f aca="false">IF(H260="","",MAX(0,Setup!$B$5-H260))</f>
        <v/>
      </c>
    </row>
    <row r="261" customFormat="false" ht="15" hidden="false" customHeight="false" outlineLevel="0" collapsed="false">
      <c r="A261" s="16"/>
      <c r="B261" s="17"/>
      <c r="C261" s="18"/>
      <c r="D261" s="18"/>
      <c r="E261" s="19" t="str">
        <f aca="false">IF(OR(C261="",D261=""),"",IF(D261&lt;=C261,"Check times",ROUND((D261-C261)*24,2)))</f>
        <v/>
      </c>
      <c r="F261" s="20" t="str">
        <f aca="false">IF(A261="","",A261-WEEKDAY(A261,3))</f>
        <v/>
      </c>
      <c r="G261" s="21"/>
      <c r="H261" s="19" t="str">
        <f aca="false">IF(OR(B261="",NOT(ISNUMBER(E261))),"",SUMIFS($E$6:$E$505,$B$6:$B$505,B261,$F$6:$F$505,F261,$A$6:$A$505,"&lt;="&amp;A261))</f>
        <v/>
      </c>
      <c r="I261" s="19" t="str">
        <f aca="false">IF(H261="","",MAX(0,Setup!$B$5-H261))</f>
        <v/>
      </c>
    </row>
    <row r="262" customFormat="false" ht="15" hidden="false" customHeight="false" outlineLevel="0" collapsed="false">
      <c r="A262" s="16"/>
      <c r="B262" s="17"/>
      <c r="C262" s="18"/>
      <c r="D262" s="18"/>
      <c r="E262" s="19" t="str">
        <f aca="false">IF(OR(C262="",D262=""),"",IF(D262&lt;=C262,"Check times",ROUND((D262-C262)*24,2)))</f>
        <v/>
      </c>
      <c r="F262" s="20" t="str">
        <f aca="false">IF(A262="","",A262-WEEKDAY(A262,3))</f>
        <v/>
      </c>
      <c r="G262" s="21"/>
      <c r="H262" s="19" t="str">
        <f aca="false">IF(OR(B262="",NOT(ISNUMBER(E262))),"",SUMIFS($E$6:$E$505,$B$6:$B$505,B262,$F$6:$F$505,F262,$A$6:$A$505,"&lt;="&amp;A262))</f>
        <v/>
      </c>
      <c r="I262" s="19" t="str">
        <f aca="false">IF(H262="","",MAX(0,Setup!$B$5-H262))</f>
        <v/>
      </c>
    </row>
    <row r="263" customFormat="false" ht="15" hidden="false" customHeight="false" outlineLevel="0" collapsed="false">
      <c r="A263" s="16"/>
      <c r="B263" s="17"/>
      <c r="C263" s="18"/>
      <c r="D263" s="18"/>
      <c r="E263" s="19" t="str">
        <f aca="false">IF(OR(C263="",D263=""),"",IF(D263&lt;=C263,"Check times",ROUND((D263-C263)*24,2)))</f>
        <v/>
      </c>
      <c r="F263" s="20" t="str">
        <f aca="false">IF(A263="","",A263-WEEKDAY(A263,3))</f>
        <v/>
      </c>
      <c r="G263" s="21"/>
      <c r="H263" s="19" t="str">
        <f aca="false">IF(OR(B263="",NOT(ISNUMBER(E263))),"",SUMIFS($E$6:$E$505,$B$6:$B$505,B263,$F$6:$F$505,F263,$A$6:$A$505,"&lt;="&amp;A263))</f>
        <v/>
      </c>
      <c r="I263" s="19" t="str">
        <f aca="false">IF(H263="","",MAX(0,Setup!$B$5-H263))</f>
        <v/>
      </c>
    </row>
    <row r="264" customFormat="false" ht="15" hidden="false" customHeight="false" outlineLevel="0" collapsed="false">
      <c r="A264" s="16"/>
      <c r="B264" s="17"/>
      <c r="C264" s="18"/>
      <c r="D264" s="18"/>
      <c r="E264" s="19" t="str">
        <f aca="false">IF(OR(C264="",D264=""),"",IF(D264&lt;=C264,"Check times",ROUND((D264-C264)*24,2)))</f>
        <v/>
      </c>
      <c r="F264" s="20" t="str">
        <f aca="false">IF(A264="","",A264-WEEKDAY(A264,3))</f>
        <v/>
      </c>
      <c r="G264" s="21"/>
      <c r="H264" s="19" t="str">
        <f aca="false">IF(OR(B264="",NOT(ISNUMBER(E264))),"",SUMIFS($E$6:$E$505,$B$6:$B$505,B264,$F$6:$F$505,F264,$A$6:$A$505,"&lt;="&amp;A264))</f>
        <v/>
      </c>
      <c r="I264" s="19" t="str">
        <f aca="false">IF(H264="","",MAX(0,Setup!$B$5-H264))</f>
        <v/>
      </c>
    </row>
    <row r="265" customFormat="false" ht="15" hidden="false" customHeight="false" outlineLevel="0" collapsed="false">
      <c r="A265" s="16"/>
      <c r="B265" s="17"/>
      <c r="C265" s="18"/>
      <c r="D265" s="18"/>
      <c r="E265" s="19" t="str">
        <f aca="false">IF(OR(C265="",D265=""),"",IF(D265&lt;=C265,"Check times",ROUND((D265-C265)*24,2)))</f>
        <v/>
      </c>
      <c r="F265" s="20" t="str">
        <f aca="false">IF(A265="","",A265-WEEKDAY(A265,3))</f>
        <v/>
      </c>
      <c r="G265" s="21"/>
      <c r="H265" s="19" t="str">
        <f aca="false">IF(OR(B265="",NOT(ISNUMBER(E265))),"",SUMIFS($E$6:$E$505,$B$6:$B$505,B265,$F$6:$F$505,F265,$A$6:$A$505,"&lt;="&amp;A265))</f>
        <v/>
      </c>
      <c r="I265" s="19" t="str">
        <f aca="false">IF(H265="","",MAX(0,Setup!$B$5-H265))</f>
        <v/>
      </c>
    </row>
    <row r="266" customFormat="false" ht="15" hidden="false" customHeight="false" outlineLevel="0" collapsed="false">
      <c r="A266" s="16"/>
      <c r="B266" s="17"/>
      <c r="C266" s="18"/>
      <c r="D266" s="18"/>
      <c r="E266" s="19" t="str">
        <f aca="false">IF(OR(C266="",D266=""),"",IF(D266&lt;=C266,"Check times",ROUND((D266-C266)*24,2)))</f>
        <v/>
      </c>
      <c r="F266" s="20" t="str">
        <f aca="false">IF(A266="","",A266-WEEKDAY(A266,3))</f>
        <v/>
      </c>
      <c r="G266" s="21"/>
      <c r="H266" s="19" t="str">
        <f aca="false">IF(OR(B266="",NOT(ISNUMBER(E266))),"",SUMIFS($E$6:$E$505,$B$6:$B$505,B266,$F$6:$F$505,F266,$A$6:$A$505,"&lt;="&amp;A266))</f>
        <v/>
      </c>
      <c r="I266" s="19" t="str">
        <f aca="false">IF(H266="","",MAX(0,Setup!$B$5-H266))</f>
        <v/>
      </c>
    </row>
    <row r="267" customFormat="false" ht="15" hidden="false" customHeight="false" outlineLevel="0" collapsed="false">
      <c r="A267" s="16"/>
      <c r="B267" s="17"/>
      <c r="C267" s="18"/>
      <c r="D267" s="18"/>
      <c r="E267" s="19" t="str">
        <f aca="false">IF(OR(C267="",D267=""),"",IF(D267&lt;=C267,"Check times",ROUND((D267-C267)*24,2)))</f>
        <v/>
      </c>
      <c r="F267" s="20" t="str">
        <f aca="false">IF(A267="","",A267-WEEKDAY(A267,3))</f>
        <v/>
      </c>
      <c r="G267" s="21"/>
      <c r="H267" s="19" t="str">
        <f aca="false">IF(OR(B267="",NOT(ISNUMBER(E267))),"",SUMIFS($E$6:$E$505,$B$6:$B$505,B267,$F$6:$F$505,F267,$A$6:$A$505,"&lt;="&amp;A267))</f>
        <v/>
      </c>
      <c r="I267" s="19" t="str">
        <f aca="false">IF(H267="","",MAX(0,Setup!$B$5-H267))</f>
        <v/>
      </c>
    </row>
    <row r="268" customFormat="false" ht="15" hidden="false" customHeight="false" outlineLevel="0" collapsed="false">
      <c r="A268" s="16"/>
      <c r="B268" s="17"/>
      <c r="C268" s="18"/>
      <c r="D268" s="18"/>
      <c r="E268" s="19" t="str">
        <f aca="false">IF(OR(C268="",D268=""),"",IF(D268&lt;=C268,"Check times",ROUND((D268-C268)*24,2)))</f>
        <v/>
      </c>
      <c r="F268" s="20" t="str">
        <f aca="false">IF(A268="","",A268-WEEKDAY(A268,3))</f>
        <v/>
      </c>
      <c r="G268" s="21"/>
      <c r="H268" s="19" t="str">
        <f aca="false">IF(OR(B268="",NOT(ISNUMBER(E268))),"",SUMIFS($E$6:$E$505,$B$6:$B$505,B268,$F$6:$F$505,F268,$A$6:$A$505,"&lt;="&amp;A268))</f>
        <v/>
      </c>
      <c r="I268" s="19" t="str">
        <f aca="false">IF(H268="","",MAX(0,Setup!$B$5-H268))</f>
        <v/>
      </c>
    </row>
    <row r="269" customFormat="false" ht="15" hidden="false" customHeight="false" outlineLevel="0" collapsed="false">
      <c r="A269" s="16"/>
      <c r="B269" s="17"/>
      <c r="C269" s="18"/>
      <c r="D269" s="18"/>
      <c r="E269" s="19" t="str">
        <f aca="false">IF(OR(C269="",D269=""),"",IF(D269&lt;=C269,"Check times",ROUND((D269-C269)*24,2)))</f>
        <v/>
      </c>
      <c r="F269" s="20" t="str">
        <f aca="false">IF(A269="","",A269-WEEKDAY(A269,3))</f>
        <v/>
      </c>
      <c r="G269" s="21"/>
      <c r="H269" s="19" t="str">
        <f aca="false">IF(OR(B269="",NOT(ISNUMBER(E269))),"",SUMIFS($E$6:$E$505,$B$6:$B$505,B269,$F$6:$F$505,F269,$A$6:$A$505,"&lt;="&amp;A269))</f>
        <v/>
      </c>
      <c r="I269" s="19" t="str">
        <f aca="false">IF(H269="","",MAX(0,Setup!$B$5-H269))</f>
        <v/>
      </c>
    </row>
    <row r="270" customFormat="false" ht="15" hidden="false" customHeight="false" outlineLevel="0" collapsed="false">
      <c r="A270" s="16"/>
      <c r="B270" s="17"/>
      <c r="C270" s="18"/>
      <c r="D270" s="18"/>
      <c r="E270" s="19" t="str">
        <f aca="false">IF(OR(C270="",D270=""),"",IF(D270&lt;=C270,"Check times",ROUND((D270-C270)*24,2)))</f>
        <v/>
      </c>
      <c r="F270" s="20" t="str">
        <f aca="false">IF(A270="","",A270-WEEKDAY(A270,3))</f>
        <v/>
      </c>
      <c r="G270" s="21"/>
      <c r="H270" s="19" t="str">
        <f aca="false">IF(OR(B270="",NOT(ISNUMBER(E270))),"",SUMIFS($E$6:$E$505,$B$6:$B$505,B270,$F$6:$F$505,F270,$A$6:$A$505,"&lt;="&amp;A270))</f>
        <v/>
      </c>
      <c r="I270" s="19" t="str">
        <f aca="false">IF(H270="","",MAX(0,Setup!$B$5-H270))</f>
        <v/>
      </c>
    </row>
    <row r="271" customFormat="false" ht="15" hidden="false" customHeight="false" outlineLevel="0" collapsed="false">
      <c r="A271" s="16"/>
      <c r="B271" s="17"/>
      <c r="C271" s="18"/>
      <c r="D271" s="18"/>
      <c r="E271" s="19" t="str">
        <f aca="false">IF(OR(C271="",D271=""),"",IF(D271&lt;=C271,"Check times",ROUND((D271-C271)*24,2)))</f>
        <v/>
      </c>
      <c r="F271" s="20" t="str">
        <f aca="false">IF(A271="","",A271-WEEKDAY(A271,3))</f>
        <v/>
      </c>
      <c r="G271" s="21"/>
      <c r="H271" s="19" t="str">
        <f aca="false">IF(OR(B271="",NOT(ISNUMBER(E271))),"",SUMIFS($E$6:$E$505,$B$6:$B$505,B271,$F$6:$F$505,F271,$A$6:$A$505,"&lt;="&amp;A271))</f>
        <v/>
      </c>
      <c r="I271" s="19" t="str">
        <f aca="false">IF(H271="","",MAX(0,Setup!$B$5-H271))</f>
        <v/>
      </c>
    </row>
    <row r="272" customFormat="false" ht="15" hidden="false" customHeight="false" outlineLevel="0" collapsed="false">
      <c r="A272" s="16"/>
      <c r="B272" s="17"/>
      <c r="C272" s="18"/>
      <c r="D272" s="18"/>
      <c r="E272" s="19" t="str">
        <f aca="false">IF(OR(C272="",D272=""),"",IF(D272&lt;=C272,"Check times",ROUND((D272-C272)*24,2)))</f>
        <v/>
      </c>
      <c r="F272" s="20" t="str">
        <f aca="false">IF(A272="","",A272-WEEKDAY(A272,3))</f>
        <v/>
      </c>
      <c r="G272" s="21"/>
      <c r="H272" s="19" t="str">
        <f aca="false">IF(OR(B272="",NOT(ISNUMBER(E272))),"",SUMIFS($E$6:$E$505,$B$6:$B$505,B272,$F$6:$F$505,F272,$A$6:$A$505,"&lt;="&amp;A272))</f>
        <v/>
      </c>
      <c r="I272" s="19" t="str">
        <f aca="false">IF(H272="","",MAX(0,Setup!$B$5-H272))</f>
        <v/>
      </c>
    </row>
    <row r="273" customFormat="false" ht="15" hidden="false" customHeight="false" outlineLevel="0" collapsed="false">
      <c r="A273" s="16"/>
      <c r="B273" s="17"/>
      <c r="C273" s="18"/>
      <c r="D273" s="18"/>
      <c r="E273" s="19" t="str">
        <f aca="false">IF(OR(C273="",D273=""),"",IF(D273&lt;=C273,"Check times",ROUND((D273-C273)*24,2)))</f>
        <v/>
      </c>
      <c r="F273" s="20" t="str">
        <f aca="false">IF(A273="","",A273-WEEKDAY(A273,3))</f>
        <v/>
      </c>
      <c r="G273" s="21"/>
      <c r="H273" s="19" t="str">
        <f aca="false">IF(OR(B273="",NOT(ISNUMBER(E273))),"",SUMIFS($E$6:$E$505,$B$6:$B$505,B273,$F$6:$F$505,F273,$A$6:$A$505,"&lt;="&amp;A273))</f>
        <v/>
      </c>
      <c r="I273" s="19" t="str">
        <f aca="false">IF(H273="","",MAX(0,Setup!$B$5-H273))</f>
        <v/>
      </c>
    </row>
    <row r="274" customFormat="false" ht="15" hidden="false" customHeight="false" outlineLevel="0" collapsed="false">
      <c r="A274" s="16"/>
      <c r="B274" s="17"/>
      <c r="C274" s="18"/>
      <c r="D274" s="18"/>
      <c r="E274" s="19" t="str">
        <f aca="false">IF(OR(C274="",D274=""),"",IF(D274&lt;=C274,"Check times",ROUND((D274-C274)*24,2)))</f>
        <v/>
      </c>
      <c r="F274" s="20" t="str">
        <f aca="false">IF(A274="","",A274-WEEKDAY(A274,3))</f>
        <v/>
      </c>
      <c r="G274" s="21"/>
      <c r="H274" s="19" t="str">
        <f aca="false">IF(OR(B274="",NOT(ISNUMBER(E274))),"",SUMIFS($E$6:$E$505,$B$6:$B$505,B274,$F$6:$F$505,F274,$A$6:$A$505,"&lt;="&amp;A274))</f>
        <v/>
      </c>
      <c r="I274" s="19" t="str">
        <f aca="false">IF(H274="","",MAX(0,Setup!$B$5-H274))</f>
        <v/>
      </c>
    </row>
    <row r="275" customFormat="false" ht="15" hidden="false" customHeight="false" outlineLevel="0" collapsed="false">
      <c r="A275" s="16"/>
      <c r="B275" s="17"/>
      <c r="C275" s="18"/>
      <c r="D275" s="18"/>
      <c r="E275" s="19" t="str">
        <f aca="false">IF(OR(C275="",D275=""),"",IF(D275&lt;=C275,"Check times",ROUND((D275-C275)*24,2)))</f>
        <v/>
      </c>
      <c r="F275" s="20" t="str">
        <f aca="false">IF(A275="","",A275-WEEKDAY(A275,3))</f>
        <v/>
      </c>
      <c r="G275" s="21"/>
      <c r="H275" s="19" t="str">
        <f aca="false">IF(OR(B275="",NOT(ISNUMBER(E275))),"",SUMIFS($E$6:$E$505,$B$6:$B$505,B275,$F$6:$F$505,F275,$A$6:$A$505,"&lt;="&amp;A275))</f>
        <v/>
      </c>
      <c r="I275" s="19" t="str">
        <f aca="false">IF(H275="","",MAX(0,Setup!$B$5-H275))</f>
        <v/>
      </c>
    </row>
    <row r="276" customFormat="false" ht="15" hidden="false" customHeight="false" outlineLevel="0" collapsed="false">
      <c r="A276" s="16"/>
      <c r="B276" s="17"/>
      <c r="C276" s="18"/>
      <c r="D276" s="18"/>
      <c r="E276" s="19" t="str">
        <f aca="false">IF(OR(C276="",D276=""),"",IF(D276&lt;=C276,"Check times",ROUND((D276-C276)*24,2)))</f>
        <v/>
      </c>
      <c r="F276" s="20" t="str">
        <f aca="false">IF(A276="","",A276-WEEKDAY(A276,3))</f>
        <v/>
      </c>
      <c r="G276" s="21"/>
      <c r="H276" s="19" t="str">
        <f aca="false">IF(OR(B276="",NOT(ISNUMBER(E276))),"",SUMIFS($E$6:$E$505,$B$6:$B$505,B276,$F$6:$F$505,F276,$A$6:$A$505,"&lt;="&amp;A276))</f>
        <v/>
      </c>
      <c r="I276" s="19" t="str">
        <f aca="false">IF(H276="","",MAX(0,Setup!$B$5-H276))</f>
        <v/>
      </c>
    </row>
    <row r="277" customFormat="false" ht="15" hidden="false" customHeight="false" outlineLevel="0" collapsed="false">
      <c r="A277" s="16"/>
      <c r="B277" s="17"/>
      <c r="C277" s="18"/>
      <c r="D277" s="18"/>
      <c r="E277" s="19" t="str">
        <f aca="false">IF(OR(C277="",D277=""),"",IF(D277&lt;=C277,"Check times",ROUND((D277-C277)*24,2)))</f>
        <v/>
      </c>
      <c r="F277" s="20" t="str">
        <f aca="false">IF(A277="","",A277-WEEKDAY(A277,3))</f>
        <v/>
      </c>
      <c r="G277" s="21"/>
      <c r="H277" s="19" t="str">
        <f aca="false">IF(OR(B277="",NOT(ISNUMBER(E277))),"",SUMIFS($E$6:$E$505,$B$6:$B$505,B277,$F$6:$F$505,F277,$A$6:$A$505,"&lt;="&amp;A277))</f>
        <v/>
      </c>
      <c r="I277" s="19" t="str">
        <f aca="false">IF(H277="","",MAX(0,Setup!$B$5-H277))</f>
        <v/>
      </c>
    </row>
    <row r="278" customFormat="false" ht="15" hidden="false" customHeight="false" outlineLevel="0" collapsed="false">
      <c r="A278" s="16"/>
      <c r="B278" s="17"/>
      <c r="C278" s="18"/>
      <c r="D278" s="18"/>
      <c r="E278" s="19" t="str">
        <f aca="false">IF(OR(C278="",D278=""),"",IF(D278&lt;=C278,"Check times",ROUND((D278-C278)*24,2)))</f>
        <v/>
      </c>
      <c r="F278" s="20" t="str">
        <f aca="false">IF(A278="","",A278-WEEKDAY(A278,3))</f>
        <v/>
      </c>
      <c r="G278" s="21"/>
      <c r="H278" s="19" t="str">
        <f aca="false">IF(OR(B278="",NOT(ISNUMBER(E278))),"",SUMIFS($E$6:$E$505,$B$6:$B$505,B278,$F$6:$F$505,F278,$A$6:$A$505,"&lt;="&amp;A278))</f>
        <v/>
      </c>
      <c r="I278" s="19" t="str">
        <f aca="false">IF(H278="","",MAX(0,Setup!$B$5-H278))</f>
        <v/>
      </c>
    </row>
    <row r="279" customFormat="false" ht="15" hidden="false" customHeight="false" outlineLevel="0" collapsed="false">
      <c r="A279" s="16"/>
      <c r="B279" s="17"/>
      <c r="C279" s="18"/>
      <c r="D279" s="18"/>
      <c r="E279" s="19" t="str">
        <f aca="false">IF(OR(C279="",D279=""),"",IF(D279&lt;=C279,"Check times",ROUND((D279-C279)*24,2)))</f>
        <v/>
      </c>
      <c r="F279" s="20" t="str">
        <f aca="false">IF(A279="","",A279-WEEKDAY(A279,3))</f>
        <v/>
      </c>
      <c r="G279" s="21"/>
      <c r="H279" s="19" t="str">
        <f aca="false">IF(OR(B279="",NOT(ISNUMBER(E279))),"",SUMIFS($E$6:$E$505,$B$6:$B$505,B279,$F$6:$F$505,F279,$A$6:$A$505,"&lt;="&amp;A279))</f>
        <v/>
      </c>
      <c r="I279" s="19" t="str">
        <f aca="false">IF(H279="","",MAX(0,Setup!$B$5-H279))</f>
        <v/>
      </c>
    </row>
    <row r="280" customFormat="false" ht="15" hidden="false" customHeight="false" outlineLevel="0" collapsed="false">
      <c r="A280" s="16"/>
      <c r="B280" s="17"/>
      <c r="C280" s="18"/>
      <c r="D280" s="18"/>
      <c r="E280" s="19" t="str">
        <f aca="false">IF(OR(C280="",D280=""),"",IF(D280&lt;=C280,"Check times",ROUND((D280-C280)*24,2)))</f>
        <v/>
      </c>
      <c r="F280" s="20" t="str">
        <f aca="false">IF(A280="","",A280-WEEKDAY(A280,3))</f>
        <v/>
      </c>
      <c r="G280" s="21"/>
      <c r="H280" s="19" t="str">
        <f aca="false">IF(OR(B280="",NOT(ISNUMBER(E280))),"",SUMIFS($E$6:$E$505,$B$6:$B$505,B280,$F$6:$F$505,F280,$A$6:$A$505,"&lt;="&amp;A280))</f>
        <v/>
      </c>
      <c r="I280" s="19" t="str">
        <f aca="false">IF(H280="","",MAX(0,Setup!$B$5-H280))</f>
        <v/>
      </c>
    </row>
    <row r="281" customFormat="false" ht="15" hidden="false" customHeight="false" outlineLevel="0" collapsed="false">
      <c r="A281" s="16"/>
      <c r="B281" s="17"/>
      <c r="C281" s="18"/>
      <c r="D281" s="18"/>
      <c r="E281" s="19" t="str">
        <f aca="false">IF(OR(C281="",D281=""),"",IF(D281&lt;=C281,"Check times",ROUND((D281-C281)*24,2)))</f>
        <v/>
      </c>
      <c r="F281" s="20" t="str">
        <f aca="false">IF(A281="","",A281-WEEKDAY(A281,3))</f>
        <v/>
      </c>
      <c r="G281" s="21"/>
      <c r="H281" s="19" t="str">
        <f aca="false">IF(OR(B281="",NOT(ISNUMBER(E281))),"",SUMIFS($E$6:$E$505,$B$6:$B$505,B281,$F$6:$F$505,F281,$A$6:$A$505,"&lt;="&amp;A281))</f>
        <v/>
      </c>
      <c r="I281" s="19" t="str">
        <f aca="false">IF(H281="","",MAX(0,Setup!$B$5-H281))</f>
        <v/>
      </c>
    </row>
    <row r="282" customFormat="false" ht="15" hidden="false" customHeight="false" outlineLevel="0" collapsed="false">
      <c r="A282" s="16"/>
      <c r="B282" s="17"/>
      <c r="C282" s="18"/>
      <c r="D282" s="18"/>
      <c r="E282" s="19" t="str">
        <f aca="false">IF(OR(C282="",D282=""),"",IF(D282&lt;=C282,"Check times",ROUND((D282-C282)*24,2)))</f>
        <v/>
      </c>
      <c r="F282" s="20" t="str">
        <f aca="false">IF(A282="","",A282-WEEKDAY(A282,3))</f>
        <v/>
      </c>
      <c r="G282" s="21"/>
      <c r="H282" s="19" t="str">
        <f aca="false">IF(OR(B282="",NOT(ISNUMBER(E282))),"",SUMIFS($E$6:$E$505,$B$6:$B$505,B282,$F$6:$F$505,F282,$A$6:$A$505,"&lt;="&amp;A282))</f>
        <v/>
      </c>
      <c r="I282" s="19" t="str">
        <f aca="false">IF(H282="","",MAX(0,Setup!$B$5-H282))</f>
        <v/>
      </c>
    </row>
    <row r="283" customFormat="false" ht="15" hidden="false" customHeight="false" outlineLevel="0" collapsed="false">
      <c r="A283" s="16"/>
      <c r="B283" s="17"/>
      <c r="C283" s="18"/>
      <c r="D283" s="18"/>
      <c r="E283" s="19" t="str">
        <f aca="false">IF(OR(C283="",D283=""),"",IF(D283&lt;=C283,"Check times",ROUND((D283-C283)*24,2)))</f>
        <v/>
      </c>
      <c r="F283" s="20" t="str">
        <f aca="false">IF(A283="","",A283-WEEKDAY(A283,3))</f>
        <v/>
      </c>
      <c r="G283" s="21"/>
      <c r="H283" s="19" t="str">
        <f aca="false">IF(OR(B283="",NOT(ISNUMBER(E283))),"",SUMIFS($E$6:$E$505,$B$6:$B$505,B283,$F$6:$F$505,F283,$A$6:$A$505,"&lt;="&amp;A283))</f>
        <v/>
      </c>
      <c r="I283" s="19" t="str">
        <f aca="false">IF(H283="","",MAX(0,Setup!$B$5-H283))</f>
        <v/>
      </c>
    </row>
    <row r="284" customFormat="false" ht="15" hidden="false" customHeight="false" outlineLevel="0" collapsed="false">
      <c r="A284" s="16"/>
      <c r="B284" s="17"/>
      <c r="C284" s="18"/>
      <c r="D284" s="18"/>
      <c r="E284" s="19" t="str">
        <f aca="false">IF(OR(C284="",D284=""),"",IF(D284&lt;=C284,"Check times",ROUND((D284-C284)*24,2)))</f>
        <v/>
      </c>
      <c r="F284" s="20" t="str">
        <f aca="false">IF(A284="","",A284-WEEKDAY(A284,3))</f>
        <v/>
      </c>
      <c r="G284" s="21"/>
      <c r="H284" s="19" t="str">
        <f aca="false">IF(OR(B284="",NOT(ISNUMBER(E284))),"",SUMIFS($E$6:$E$505,$B$6:$B$505,B284,$F$6:$F$505,F284,$A$6:$A$505,"&lt;="&amp;A284))</f>
        <v/>
      </c>
      <c r="I284" s="19" t="str">
        <f aca="false">IF(H284="","",MAX(0,Setup!$B$5-H284))</f>
        <v/>
      </c>
    </row>
    <row r="285" customFormat="false" ht="15" hidden="false" customHeight="false" outlineLevel="0" collapsed="false">
      <c r="A285" s="16"/>
      <c r="B285" s="17"/>
      <c r="C285" s="18"/>
      <c r="D285" s="18"/>
      <c r="E285" s="19" t="str">
        <f aca="false">IF(OR(C285="",D285=""),"",IF(D285&lt;=C285,"Check times",ROUND((D285-C285)*24,2)))</f>
        <v/>
      </c>
      <c r="F285" s="20" t="str">
        <f aca="false">IF(A285="","",A285-WEEKDAY(A285,3))</f>
        <v/>
      </c>
      <c r="G285" s="21"/>
      <c r="H285" s="19" t="str">
        <f aca="false">IF(OR(B285="",NOT(ISNUMBER(E285))),"",SUMIFS($E$6:$E$505,$B$6:$B$505,B285,$F$6:$F$505,F285,$A$6:$A$505,"&lt;="&amp;A285))</f>
        <v/>
      </c>
      <c r="I285" s="19" t="str">
        <f aca="false">IF(H285="","",MAX(0,Setup!$B$5-H285))</f>
        <v/>
      </c>
    </row>
    <row r="286" customFormat="false" ht="15" hidden="false" customHeight="false" outlineLevel="0" collapsed="false">
      <c r="A286" s="16"/>
      <c r="B286" s="17"/>
      <c r="C286" s="18"/>
      <c r="D286" s="18"/>
      <c r="E286" s="19" t="str">
        <f aca="false">IF(OR(C286="",D286=""),"",IF(D286&lt;=C286,"Check times",ROUND((D286-C286)*24,2)))</f>
        <v/>
      </c>
      <c r="F286" s="20" t="str">
        <f aca="false">IF(A286="","",A286-WEEKDAY(A286,3))</f>
        <v/>
      </c>
      <c r="G286" s="21"/>
      <c r="H286" s="19" t="str">
        <f aca="false">IF(OR(B286="",NOT(ISNUMBER(E286))),"",SUMIFS($E$6:$E$505,$B$6:$B$505,B286,$F$6:$F$505,F286,$A$6:$A$505,"&lt;="&amp;A286))</f>
        <v/>
      </c>
      <c r="I286" s="19" t="str">
        <f aca="false">IF(H286="","",MAX(0,Setup!$B$5-H286))</f>
        <v/>
      </c>
    </row>
    <row r="287" customFormat="false" ht="15" hidden="false" customHeight="false" outlineLevel="0" collapsed="false">
      <c r="A287" s="16"/>
      <c r="B287" s="17"/>
      <c r="C287" s="18"/>
      <c r="D287" s="18"/>
      <c r="E287" s="19" t="str">
        <f aca="false">IF(OR(C287="",D287=""),"",IF(D287&lt;=C287,"Check times",ROUND((D287-C287)*24,2)))</f>
        <v/>
      </c>
      <c r="F287" s="20" t="str">
        <f aca="false">IF(A287="","",A287-WEEKDAY(A287,3))</f>
        <v/>
      </c>
      <c r="G287" s="21"/>
      <c r="H287" s="19" t="str">
        <f aca="false">IF(OR(B287="",NOT(ISNUMBER(E287))),"",SUMIFS($E$6:$E$505,$B$6:$B$505,B287,$F$6:$F$505,F287,$A$6:$A$505,"&lt;="&amp;A287))</f>
        <v/>
      </c>
      <c r="I287" s="19" t="str">
        <f aca="false">IF(H287="","",MAX(0,Setup!$B$5-H287))</f>
        <v/>
      </c>
    </row>
    <row r="288" customFormat="false" ht="15" hidden="false" customHeight="false" outlineLevel="0" collapsed="false">
      <c r="A288" s="16"/>
      <c r="B288" s="17"/>
      <c r="C288" s="18"/>
      <c r="D288" s="18"/>
      <c r="E288" s="19" t="str">
        <f aca="false">IF(OR(C288="",D288=""),"",IF(D288&lt;=C288,"Check times",ROUND((D288-C288)*24,2)))</f>
        <v/>
      </c>
      <c r="F288" s="20" t="str">
        <f aca="false">IF(A288="","",A288-WEEKDAY(A288,3))</f>
        <v/>
      </c>
      <c r="G288" s="21"/>
      <c r="H288" s="19" t="str">
        <f aca="false">IF(OR(B288="",NOT(ISNUMBER(E288))),"",SUMIFS($E$6:$E$505,$B$6:$B$505,B288,$F$6:$F$505,F288,$A$6:$A$505,"&lt;="&amp;A288))</f>
        <v/>
      </c>
      <c r="I288" s="19" t="str">
        <f aca="false">IF(H288="","",MAX(0,Setup!$B$5-H288))</f>
        <v/>
      </c>
    </row>
    <row r="289" customFormat="false" ht="15" hidden="false" customHeight="false" outlineLevel="0" collapsed="false">
      <c r="A289" s="16"/>
      <c r="B289" s="17"/>
      <c r="C289" s="18"/>
      <c r="D289" s="18"/>
      <c r="E289" s="19" t="str">
        <f aca="false">IF(OR(C289="",D289=""),"",IF(D289&lt;=C289,"Check times",ROUND((D289-C289)*24,2)))</f>
        <v/>
      </c>
      <c r="F289" s="20" t="str">
        <f aca="false">IF(A289="","",A289-WEEKDAY(A289,3))</f>
        <v/>
      </c>
      <c r="G289" s="21"/>
      <c r="H289" s="19" t="str">
        <f aca="false">IF(OR(B289="",NOT(ISNUMBER(E289))),"",SUMIFS($E$6:$E$505,$B$6:$B$505,B289,$F$6:$F$505,F289,$A$6:$A$505,"&lt;="&amp;A289))</f>
        <v/>
      </c>
      <c r="I289" s="19" t="str">
        <f aca="false">IF(H289="","",MAX(0,Setup!$B$5-H289))</f>
        <v/>
      </c>
    </row>
    <row r="290" customFormat="false" ht="15" hidden="false" customHeight="false" outlineLevel="0" collapsed="false">
      <c r="A290" s="16"/>
      <c r="B290" s="17"/>
      <c r="C290" s="18"/>
      <c r="D290" s="18"/>
      <c r="E290" s="19" t="str">
        <f aca="false">IF(OR(C290="",D290=""),"",IF(D290&lt;=C290,"Check times",ROUND((D290-C290)*24,2)))</f>
        <v/>
      </c>
      <c r="F290" s="20" t="str">
        <f aca="false">IF(A290="","",A290-WEEKDAY(A290,3))</f>
        <v/>
      </c>
      <c r="G290" s="21"/>
      <c r="H290" s="19" t="str">
        <f aca="false">IF(OR(B290="",NOT(ISNUMBER(E290))),"",SUMIFS($E$6:$E$505,$B$6:$B$505,B290,$F$6:$F$505,F290,$A$6:$A$505,"&lt;="&amp;A290))</f>
        <v/>
      </c>
      <c r="I290" s="19" t="str">
        <f aca="false">IF(H290="","",MAX(0,Setup!$B$5-H290))</f>
        <v/>
      </c>
    </row>
    <row r="291" customFormat="false" ht="15" hidden="false" customHeight="false" outlineLevel="0" collapsed="false">
      <c r="A291" s="16"/>
      <c r="B291" s="17"/>
      <c r="C291" s="18"/>
      <c r="D291" s="18"/>
      <c r="E291" s="19" t="str">
        <f aca="false">IF(OR(C291="",D291=""),"",IF(D291&lt;=C291,"Check times",ROUND((D291-C291)*24,2)))</f>
        <v/>
      </c>
      <c r="F291" s="20" t="str">
        <f aca="false">IF(A291="","",A291-WEEKDAY(A291,3))</f>
        <v/>
      </c>
      <c r="G291" s="21"/>
      <c r="H291" s="19" t="str">
        <f aca="false">IF(OR(B291="",NOT(ISNUMBER(E291))),"",SUMIFS($E$6:$E$505,$B$6:$B$505,B291,$F$6:$F$505,F291,$A$6:$A$505,"&lt;="&amp;A291))</f>
        <v/>
      </c>
      <c r="I291" s="19" t="str">
        <f aca="false">IF(H291="","",MAX(0,Setup!$B$5-H291))</f>
        <v/>
      </c>
    </row>
    <row r="292" customFormat="false" ht="15" hidden="false" customHeight="false" outlineLevel="0" collapsed="false">
      <c r="A292" s="16"/>
      <c r="B292" s="17"/>
      <c r="C292" s="18"/>
      <c r="D292" s="18"/>
      <c r="E292" s="19" t="str">
        <f aca="false">IF(OR(C292="",D292=""),"",IF(D292&lt;=C292,"Check times",ROUND((D292-C292)*24,2)))</f>
        <v/>
      </c>
      <c r="F292" s="20" t="str">
        <f aca="false">IF(A292="","",A292-WEEKDAY(A292,3))</f>
        <v/>
      </c>
      <c r="G292" s="21"/>
      <c r="H292" s="19" t="str">
        <f aca="false">IF(OR(B292="",NOT(ISNUMBER(E292))),"",SUMIFS($E$6:$E$505,$B$6:$B$505,B292,$F$6:$F$505,F292,$A$6:$A$505,"&lt;="&amp;A292))</f>
        <v/>
      </c>
      <c r="I292" s="19" t="str">
        <f aca="false">IF(H292="","",MAX(0,Setup!$B$5-H292))</f>
        <v/>
      </c>
    </row>
    <row r="293" customFormat="false" ht="15" hidden="false" customHeight="false" outlineLevel="0" collapsed="false">
      <c r="A293" s="16"/>
      <c r="B293" s="17"/>
      <c r="C293" s="18"/>
      <c r="D293" s="18"/>
      <c r="E293" s="19" t="str">
        <f aca="false">IF(OR(C293="",D293=""),"",IF(D293&lt;=C293,"Check times",ROUND((D293-C293)*24,2)))</f>
        <v/>
      </c>
      <c r="F293" s="20" t="str">
        <f aca="false">IF(A293="","",A293-WEEKDAY(A293,3))</f>
        <v/>
      </c>
      <c r="G293" s="21"/>
      <c r="H293" s="19" t="str">
        <f aca="false">IF(OR(B293="",NOT(ISNUMBER(E293))),"",SUMIFS($E$6:$E$505,$B$6:$B$505,B293,$F$6:$F$505,F293,$A$6:$A$505,"&lt;="&amp;A293))</f>
        <v/>
      </c>
      <c r="I293" s="19" t="str">
        <f aca="false">IF(H293="","",MAX(0,Setup!$B$5-H293))</f>
        <v/>
      </c>
    </row>
    <row r="294" customFormat="false" ht="15" hidden="false" customHeight="false" outlineLevel="0" collapsed="false">
      <c r="A294" s="16"/>
      <c r="B294" s="17"/>
      <c r="C294" s="18"/>
      <c r="D294" s="18"/>
      <c r="E294" s="19" t="str">
        <f aca="false">IF(OR(C294="",D294=""),"",IF(D294&lt;=C294,"Check times",ROUND((D294-C294)*24,2)))</f>
        <v/>
      </c>
      <c r="F294" s="20" t="str">
        <f aca="false">IF(A294="","",A294-WEEKDAY(A294,3))</f>
        <v/>
      </c>
      <c r="G294" s="21"/>
      <c r="H294" s="19" t="str">
        <f aca="false">IF(OR(B294="",NOT(ISNUMBER(E294))),"",SUMIFS($E$6:$E$505,$B$6:$B$505,B294,$F$6:$F$505,F294,$A$6:$A$505,"&lt;="&amp;A294))</f>
        <v/>
      </c>
      <c r="I294" s="19" t="str">
        <f aca="false">IF(H294="","",MAX(0,Setup!$B$5-H294))</f>
        <v/>
      </c>
    </row>
    <row r="295" customFormat="false" ht="15" hidden="false" customHeight="false" outlineLevel="0" collapsed="false">
      <c r="A295" s="16"/>
      <c r="B295" s="17"/>
      <c r="C295" s="18"/>
      <c r="D295" s="18"/>
      <c r="E295" s="19" t="str">
        <f aca="false">IF(OR(C295="",D295=""),"",IF(D295&lt;=C295,"Check times",ROUND((D295-C295)*24,2)))</f>
        <v/>
      </c>
      <c r="F295" s="20" t="str">
        <f aca="false">IF(A295="","",A295-WEEKDAY(A295,3))</f>
        <v/>
      </c>
      <c r="G295" s="21"/>
      <c r="H295" s="19" t="str">
        <f aca="false">IF(OR(B295="",NOT(ISNUMBER(E295))),"",SUMIFS($E$6:$E$505,$B$6:$B$505,B295,$F$6:$F$505,F295,$A$6:$A$505,"&lt;="&amp;A295))</f>
        <v/>
      </c>
      <c r="I295" s="19" t="str">
        <f aca="false">IF(H295="","",MAX(0,Setup!$B$5-H295))</f>
        <v/>
      </c>
    </row>
    <row r="296" customFormat="false" ht="15" hidden="false" customHeight="false" outlineLevel="0" collapsed="false">
      <c r="A296" s="16"/>
      <c r="B296" s="17"/>
      <c r="C296" s="18"/>
      <c r="D296" s="18"/>
      <c r="E296" s="19" t="str">
        <f aca="false">IF(OR(C296="",D296=""),"",IF(D296&lt;=C296,"Check times",ROUND((D296-C296)*24,2)))</f>
        <v/>
      </c>
      <c r="F296" s="20" t="str">
        <f aca="false">IF(A296="","",A296-WEEKDAY(A296,3))</f>
        <v/>
      </c>
      <c r="G296" s="21"/>
      <c r="H296" s="19" t="str">
        <f aca="false">IF(OR(B296="",NOT(ISNUMBER(E296))),"",SUMIFS($E$6:$E$505,$B$6:$B$505,B296,$F$6:$F$505,F296,$A$6:$A$505,"&lt;="&amp;A296))</f>
        <v/>
      </c>
      <c r="I296" s="19" t="str">
        <f aca="false">IF(H296="","",MAX(0,Setup!$B$5-H296))</f>
        <v/>
      </c>
    </row>
    <row r="297" customFormat="false" ht="15" hidden="false" customHeight="false" outlineLevel="0" collapsed="false">
      <c r="A297" s="16"/>
      <c r="B297" s="17"/>
      <c r="C297" s="18"/>
      <c r="D297" s="18"/>
      <c r="E297" s="19" t="str">
        <f aca="false">IF(OR(C297="",D297=""),"",IF(D297&lt;=C297,"Check times",ROUND((D297-C297)*24,2)))</f>
        <v/>
      </c>
      <c r="F297" s="20" t="str">
        <f aca="false">IF(A297="","",A297-WEEKDAY(A297,3))</f>
        <v/>
      </c>
      <c r="G297" s="21"/>
      <c r="H297" s="19" t="str">
        <f aca="false">IF(OR(B297="",NOT(ISNUMBER(E297))),"",SUMIFS($E$6:$E$505,$B$6:$B$505,B297,$F$6:$F$505,F297,$A$6:$A$505,"&lt;="&amp;A297))</f>
        <v/>
      </c>
      <c r="I297" s="19" t="str">
        <f aca="false">IF(H297="","",MAX(0,Setup!$B$5-H297))</f>
        <v/>
      </c>
    </row>
    <row r="298" customFormat="false" ht="15" hidden="false" customHeight="false" outlineLevel="0" collapsed="false">
      <c r="A298" s="16"/>
      <c r="B298" s="17"/>
      <c r="C298" s="18"/>
      <c r="D298" s="18"/>
      <c r="E298" s="19" t="str">
        <f aca="false">IF(OR(C298="",D298=""),"",IF(D298&lt;=C298,"Check times",ROUND((D298-C298)*24,2)))</f>
        <v/>
      </c>
      <c r="F298" s="20" t="str">
        <f aca="false">IF(A298="","",A298-WEEKDAY(A298,3))</f>
        <v/>
      </c>
      <c r="G298" s="21"/>
      <c r="H298" s="19" t="str">
        <f aca="false">IF(OR(B298="",NOT(ISNUMBER(E298))),"",SUMIFS($E$6:$E$505,$B$6:$B$505,B298,$F$6:$F$505,F298,$A$6:$A$505,"&lt;="&amp;A298))</f>
        <v/>
      </c>
      <c r="I298" s="19" t="str">
        <f aca="false">IF(H298="","",MAX(0,Setup!$B$5-H298))</f>
        <v/>
      </c>
    </row>
    <row r="299" customFormat="false" ht="15" hidden="false" customHeight="false" outlineLevel="0" collapsed="false">
      <c r="A299" s="16"/>
      <c r="B299" s="17"/>
      <c r="C299" s="18"/>
      <c r="D299" s="18"/>
      <c r="E299" s="19" t="str">
        <f aca="false">IF(OR(C299="",D299=""),"",IF(D299&lt;=C299,"Check times",ROUND((D299-C299)*24,2)))</f>
        <v/>
      </c>
      <c r="F299" s="20" t="str">
        <f aca="false">IF(A299="","",A299-WEEKDAY(A299,3))</f>
        <v/>
      </c>
      <c r="G299" s="21"/>
      <c r="H299" s="19" t="str">
        <f aca="false">IF(OR(B299="",NOT(ISNUMBER(E299))),"",SUMIFS($E$6:$E$505,$B$6:$B$505,B299,$F$6:$F$505,F299,$A$6:$A$505,"&lt;="&amp;A299))</f>
        <v/>
      </c>
      <c r="I299" s="19" t="str">
        <f aca="false">IF(H299="","",MAX(0,Setup!$B$5-H299))</f>
        <v/>
      </c>
    </row>
    <row r="300" customFormat="false" ht="15" hidden="false" customHeight="false" outlineLevel="0" collapsed="false">
      <c r="A300" s="16"/>
      <c r="B300" s="17"/>
      <c r="C300" s="18"/>
      <c r="D300" s="18"/>
      <c r="E300" s="19" t="str">
        <f aca="false">IF(OR(C300="",D300=""),"",IF(D300&lt;=C300,"Check times",ROUND((D300-C300)*24,2)))</f>
        <v/>
      </c>
      <c r="F300" s="20" t="str">
        <f aca="false">IF(A300="","",A300-WEEKDAY(A300,3))</f>
        <v/>
      </c>
      <c r="G300" s="21"/>
      <c r="H300" s="19" t="str">
        <f aca="false">IF(OR(B300="",NOT(ISNUMBER(E300))),"",SUMIFS($E$6:$E$505,$B$6:$B$505,B300,$F$6:$F$505,F300,$A$6:$A$505,"&lt;="&amp;A300))</f>
        <v/>
      </c>
      <c r="I300" s="19" t="str">
        <f aca="false">IF(H300="","",MAX(0,Setup!$B$5-H300))</f>
        <v/>
      </c>
    </row>
    <row r="301" customFormat="false" ht="15" hidden="false" customHeight="false" outlineLevel="0" collapsed="false">
      <c r="A301" s="16"/>
      <c r="B301" s="17"/>
      <c r="C301" s="18"/>
      <c r="D301" s="18"/>
      <c r="E301" s="19" t="str">
        <f aca="false">IF(OR(C301="",D301=""),"",IF(D301&lt;=C301,"Check times",ROUND((D301-C301)*24,2)))</f>
        <v/>
      </c>
      <c r="F301" s="20" t="str">
        <f aca="false">IF(A301="","",A301-WEEKDAY(A301,3))</f>
        <v/>
      </c>
      <c r="G301" s="21"/>
      <c r="H301" s="19" t="str">
        <f aca="false">IF(OR(B301="",NOT(ISNUMBER(E301))),"",SUMIFS($E$6:$E$505,$B$6:$B$505,B301,$F$6:$F$505,F301,$A$6:$A$505,"&lt;="&amp;A301))</f>
        <v/>
      </c>
      <c r="I301" s="19" t="str">
        <f aca="false">IF(H301="","",MAX(0,Setup!$B$5-H301))</f>
        <v/>
      </c>
    </row>
    <row r="302" customFormat="false" ht="15" hidden="false" customHeight="false" outlineLevel="0" collapsed="false">
      <c r="A302" s="16"/>
      <c r="B302" s="17"/>
      <c r="C302" s="18"/>
      <c r="D302" s="18"/>
      <c r="E302" s="19" t="str">
        <f aca="false">IF(OR(C302="",D302=""),"",IF(D302&lt;=C302,"Check times",ROUND((D302-C302)*24,2)))</f>
        <v/>
      </c>
      <c r="F302" s="20" t="str">
        <f aca="false">IF(A302="","",A302-WEEKDAY(A302,3))</f>
        <v/>
      </c>
      <c r="G302" s="21"/>
      <c r="H302" s="19" t="str">
        <f aca="false">IF(OR(B302="",NOT(ISNUMBER(E302))),"",SUMIFS($E$6:$E$505,$B$6:$B$505,B302,$F$6:$F$505,F302,$A$6:$A$505,"&lt;="&amp;A302))</f>
        <v/>
      </c>
      <c r="I302" s="19" t="str">
        <f aca="false">IF(H302="","",MAX(0,Setup!$B$5-H302))</f>
        <v/>
      </c>
    </row>
    <row r="303" customFormat="false" ht="15" hidden="false" customHeight="false" outlineLevel="0" collapsed="false">
      <c r="A303" s="16"/>
      <c r="B303" s="17"/>
      <c r="C303" s="18"/>
      <c r="D303" s="18"/>
      <c r="E303" s="19" t="str">
        <f aca="false">IF(OR(C303="",D303=""),"",IF(D303&lt;=C303,"Check times",ROUND((D303-C303)*24,2)))</f>
        <v/>
      </c>
      <c r="F303" s="20" t="str">
        <f aca="false">IF(A303="","",A303-WEEKDAY(A303,3))</f>
        <v/>
      </c>
      <c r="G303" s="21"/>
      <c r="H303" s="19" t="str">
        <f aca="false">IF(OR(B303="",NOT(ISNUMBER(E303))),"",SUMIFS($E$6:$E$505,$B$6:$B$505,B303,$F$6:$F$505,F303,$A$6:$A$505,"&lt;="&amp;A303))</f>
        <v/>
      </c>
      <c r="I303" s="19" t="str">
        <f aca="false">IF(H303="","",MAX(0,Setup!$B$5-H303))</f>
        <v/>
      </c>
    </row>
    <row r="304" customFormat="false" ht="15" hidden="false" customHeight="false" outlineLevel="0" collapsed="false">
      <c r="A304" s="16"/>
      <c r="B304" s="17"/>
      <c r="C304" s="18"/>
      <c r="D304" s="18"/>
      <c r="E304" s="19" t="str">
        <f aca="false">IF(OR(C304="",D304=""),"",IF(D304&lt;=C304,"Check times",ROUND((D304-C304)*24,2)))</f>
        <v/>
      </c>
      <c r="F304" s="20" t="str">
        <f aca="false">IF(A304="","",A304-WEEKDAY(A304,3))</f>
        <v/>
      </c>
      <c r="G304" s="21"/>
      <c r="H304" s="19" t="str">
        <f aca="false">IF(OR(B304="",NOT(ISNUMBER(E304))),"",SUMIFS($E$6:$E$505,$B$6:$B$505,B304,$F$6:$F$505,F304,$A$6:$A$505,"&lt;="&amp;A304))</f>
        <v/>
      </c>
      <c r="I304" s="19" t="str">
        <f aca="false">IF(H304="","",MAX(0,Setup!$B$5-H304))</f>
        <v/>
      </c>
    </row>
    <row r="305" customFormat="false" ht="15" hidden="false" customHeight="false" outlineLevel="0" collapsed="false">
      <c r="A305" s="16"/>
      <c r="B305" s="17"/>
      <c r="C305" s="18"/>
      <c r="D305" s="18"/>
      <c r="E305" s="19" t="str">
        <f aca="false">IF(OR(C305="",D305=""),"",IF(D305&lt;=C305,"Check times",ROUND((D305-C305)*24,2)))</f>
        <v/>
      </c>
      <c r="F305" s="20" t="str">
        <f aca="false">IF(A305="","",A305-WEEKDAY(A305,3))</f>
        <v/>
      </c>
      <c r="G305" s="21"/>
      <c r="H305" s="19" t="str">
        <f aca="false">IF(OR(B305="",NOT(ISNUMBER(E305))),"",SUMIFS($E$6:$E$505,$B$6:$B$505,B305,$F$6:$F$505,F305,$A$6:$A$505,"&lt;="&amp;A305))</f>
        <v/>
      </c>
      <c r="I305" s="19" t="str">
        <f aca="false">IF(H305="","",MAX(0,Setup!$B$5-H305))</f>
        <v/>
      </c>
    </row>
    <row r="306" customFormat="false" ht="15" hidden="false" customHeight="false" outlineLevel="0" collapsed="false">
      <c r="A306" s="16"/>
      <c r="B306" s="17"/>
      <c r="C306" s="18"/>
      <c r="D306" s="18"/>
      <c r="E306" s="19" t="str">
        <f aca="false">IF(OR(C306="",D306=""),"",IF(D306&lt;=C306,"Check times",ROUND((D306-C306)*24,2)))</f>
        <v/>
      </c>
      <c r="F306" s="20" t="str">
        <f aca="false">IF(A306="","",A306-WEEKDAY(A306,3))</f>
        <v/>
      </c>
      <c r="G306" s="21"/>
      <c r="H306" s="19" t="str">
        <f aca="false">IF(OR(B306="",NOT(ISNUMBER(E306))),"",SUMIFS($E$6:$E$505,$B$6:$B$505,B306,$F$6:$F$505,F306,$A$6:$A$505,"&lt;="&amp;A306))</f>
        <v/>
      </c>
      <c r="I306" s="19" t="str">
        <f aca="false">IF(H306="","",MAX(0,Setup!$B$5-H306))</f>
        <v/>
      </c>
    </row>
    <row r="307" customFormat="false" ht="15" hidden="false" customHeight="false" outlineLevel="0" collapsed="false">
      <c r="A307" s="16"/>
      <c r="B307" s="17"/>
      <c r="C307" s="18"/>
      <c r="D307" s="18"/>
      <c r="E307" s="19" t="str">
        <f aca="false">IF(OR(C307="",D307=""),"",IF(D307&lt;=C307,"Check times",ROUND((D307-C307)*24,2)))</f>
        <v/>
      </c>
      <c r="F307" s="20" t="str">
        <f aca="false">IF(A307="","",A307-WEEKDAY(A307,3))</f>
        <v/>
      </c>
      <c r="G307" s="21"/>
      <c r="H307" s="19" t="str">
        <f aca="false">IF(OR(B307="",NOT(ISNUMBER(E307))),"",SUMIFS($E$6:$E$505,$B$6:$B$505,B307,$F$6:$F$505,F307,$A$6:$A$505,"&lt;="&amp;A307))</f>
        <v/>
      </c>
      <c r="I307" s="19" t="str">
        <f aca="false">IF(H307="","",MAX(0,Setup!$B$5-H307))</f>
        <v/>
      </c>
    </row>
    <row r="308" customFormat="false" ht="15" hidden="false" customHeight="false" outlineLevel="0" collapsed="false">
      <c r="A308" s="16"/>
      <c r="B308" s="17"/>
      <c r="C308" s="18"/>
      <c r="D308" s="18"/>
      <c r="E308" s="19" t="str">
        <f aca="false">IF(OR(C308="",D308=""),"",IF(D308&lt;=C308,"Check times",ROUND((D308-C308)*24,2)))</f>
        <v/>
      </c>
      <c r="F308" s="20" t="str">
        <f aca="false">IF(A308="","",A308-WEEKDAY(A308,3))</f>
        <v/>
      </c>
      <c r="G308" s="21"/>
      <c r="H308" s="19" t="str">
        <f aca="false">IF(OR(B308="",NOT(ISNUMBER(E308))),"",SUMIFS($E$6:$E$505,$B$6:$B$505,B308,$F$6:$F$505,F308,$A$6:$A$505,"&lt;="&amp;A308))</f>
        <v/>
      </c>
      <c r="I308" s="19" t="str">
        <f aca="false">IF(H308="","",MAX(0,Setup!$B$5-H308))</f>
        <v/>
      </c>
    </row>
    <row r="309" customFormat="false" ht="15" hidden="false" customHeight="false" outlineLevel="0" collapsed="false">
      <c r="A309" s="16"/>
      <c r="B309" s="17"/>
      <c r="C309" s="18"/>
      <c r="D309" s="18"/>
      <c r="E309" s="19" t="str">
        <f aca="false">IF(OR(C309="",D309=""),"",IF(D309&lt;=C309,"Check times",ROUND((D309-C309)*24,2)))</f>
        <v/>
      </c>
      <c r="F309" s="20" t="str">
        <f aca="false">IF(A309="","",A309-WEEKDAY(A309,3))</f>
        <v/>
      </c>
      <c r="G309" s="21"/>
      <c r="H309" s="19" t="str">
        <f aca="false">IF(OR(B309="",NOT(ISNUMBER(E309))),"",SUMIFS($E$6:$E$505,$B$6:$B$505,B309,$F$6:$F$505,F309,$A$6:$A$505,"&lt;="&amp;A309))</f>
        <v/>
      </c>
      <c r="I309" s="19" t="str">
        <f aca="false">IF(H309="","",MAX(0,Setup!$B$5-H309))</f>
        <v/>
      </c>
    </row>
    <row r="310" customFormat="false" ht="15" hidden="false" customHeight="false" outlineLevel="0" collapsed="false">
      <c r="A310" s="16"/>
      <c r="B310" s="17"/>
      <c r="C310" s="18"/>
      <c r="D310" s="18"/>
      <c r="E310" s="19" t="str">
        <f aca="false">IF(OR(C310="",D310=""),"",IF(D310&lt;=C310,"Check times",ROUND((D310-C310)*24,2)))</f>
        <v/>
      </c>
      <c r="F310" s="20" t="str">
        <f aca="false">IF(A310="","",A310-WEEKDAY(A310,3))</f>
        <v/>
      </c>
      <c r="G310" s="21"/>
      <c r="H310" s="19" t="str">
        <f aca="false">IF(OR(B310="",NOT(ISNUMBER(E310))),"",SUMIFS($E$6:$E$505,$B$6:$B$505,B310,$F$6:$F$505,F310,$A$6:$A$505,"&lt;="&amp;A310))</f>
        <v/>
      </c>
      <c r="I310" s="19" t="str">
        <f aca="false">IF(H310="","",MAX(0,Setup!$B$5-H310))</f>
        <v/>
      </c>
    </row>
    <row r="311" customFormat="false" ht="15" hidden="false" customHeight="false" outlineLevel="0" collapsed="false">
      <c r="A311" s="16"/>
      <c r="B311" s="17"/>
      <c r="C311" s="18"/>
      <c r="D311" s="18"/>
      <c r="E311" s="19" t="str">
        <f aca="false">IF(OR(C311="",D311=""),"",IF(D311&lt;=C311,"Check times",ROUND((D311-C311)*24,2)))</f>
        <v/>
      </c>
      <c r="F311" s="20" t="str">
        <f aca="false">IF(A311="","",A311-WEEKDAY(A311,3))</f>
        <v/>
      </c>
      <c r="G311" s="21"/>
      <c r="H311" s="19" t="str">
        <f aca="false">IF(OR(B311="",NOT(ISNUMBER(E311))),"",SUMIFS($E$6:$E$505,$B$6:$B$505,B311,$F$6:$F$505,F311,$A$6:$A$505,"&lt;="&amp;A311))</f>
        <v/>
      </c>
      <c r="I311" s="19" t="str">
        <f aca="false">IF(H311="","",MAX(0,Setup!$B$5-H311))</f>
        <v/>
      </c>
    </row>
    <row r="312" customFormat="false" ht="15" hidden="false" customHeight="false" outlineLevel="0" collapsed="false">
      <c r="A312" s="16"/>
      <c r="B312" s="17"/>
      <c r="C312" s="18"/>
      <c r="D312" s="18"/>
      <c r="E312" s="19" t="str">
        <f aca="false">IF(OR(C312="",D312=""),"",IF(D312&lt;=C312,"Check times",ROUND((D312-C312)*24,2)))</f>
        <v/>
      </c>
      <c r="F312" s="20" t="str">
        <f aca="false">IF(A312="","",A312-WEEKDAY(A312,3))</f>
        <v/>
      </c>
      <c r="G312" s="21"/>
      <c r="H312" s="19" t="str">
        <f aca="false">IF(OR(B312="",NOT(ISNUMBER(E312))),"",SUMIFS($E$6:$E$505,$B$6:$B$505,B312,$F$6:$F$505,F312,$A$6:$A$505,"&lt;="&amp;A312))</f>
        <v/>
      </c>
      <c r="I312" s="19" t="str">
        <f aca="false">IF(H312="","",MAX(0,Setup!$B$5-H312))</f>
        <v/>
      </c>
    </row>
    <row r="313" customFormat="false" ht="15" hidden="false" customHeight="false" outlineLevel="0" collapsed="false">
      <c r="A313" s="16"/>
      <c r="B313" s="17"/>
      <c r="C313" s="18"/>
      <c r="D313" s="18"/>
      <c r="E313" s="19" t="str">
        <f aca="false">IF(OR(C313="",D313=""),"",IF(D313&lt;=C313,"Check times",ROUND((D313-C313)*24,2)))</f>
        <v/>
      </c>
      <c r="F313" s="20" t="str">
        <f aca="false">IF(A313="","",A313-WEEKDAY(A313,3))</f>
        <v/>
      </c>
      <c r="G313" s="21"/>
      <c r="H313" s="19" t="str">
        <f aca="false">IF(OR(B313="",NOT(ISNUMBER(E313))),"",SUMIFS($E$6:$E$505,$B$6:$B$505,B313,$F$6:$F$505,F313,$A$6:$A$505,"&lt;="&amp;A313))</f>
        <v/>
      </c>
      <c r="I313" s="19" t="str">
        <f aca="false">IF(H313="","",MAX(0,Setup!$B$5-H313))</f>
        <v/>
      </c>
    </row>
    <row r="314" customFormat="false" ht="15" hidden="false" customHeight="false" outlineLevel="0" collapsed="false">
      <c r="A314" s="16"/>
      <c r="B314" s="17"/>
      <c r="C314" s="18"/>
      <c r="D314" s="18"/>
      <c r="E314" s="19" t="str">
        <f aca="false">IF(OR(C314="",D314=""),"",IF(D314&lt;=C314,"Check times",ROUND((D314-C314)*24,2)))</f>
        <v/>
      </c>
      <c r="F314" s="20" t="str">
        <f aca="false">IF(A314="","",A314-WEEKDAY(A314,3))</f>
        <v/>
      </c>
      <c r="G314" s="21"/>
      <c r="H314" s="19" t="str">
        <f aca="false">IF(OR(B314="",NOT(ISNUMBER(E314))),"",SUMIFS($E$6:$E$505,$B$6:$B$505,B314,$F$6:$F$505,F314,$A$6:$A$505,"&lt;="&amp;A314))</f>
        <v/>
      </c>
      <c r="I314" s="19" t="str">
        <f aca="false">IF(H314="","",MAX(0,Setup!$B$5-H314))</f>
        <v/>
      </c>
    </row>
    <row r="315" customFormat="false" ht="15" hidden="false" customHeight="false" outlineLevel="0" collapsed="false">
      <c r="A315" s="16"/>
      <c r="B315" s="17"/>
      <c r="C315" s="18"/>
      <c r="D315" s="18"/>
      <c r="E315" s="19" t="str">
        <f aca="false">IF(OR(C315="",D315=""),"",IF(D315&lt;=C315,"Check times",ROUND((D315-C315)*24,2)))</f>
        <v/>
      </c>
      <c r="F315" s="20" t="str">
        <f aca="false">IF(A315="","",A315-WEEKDAY(A315,3))</f>
        <v/>
      </c>
      <c r="G315" s="21"/>
      <c r="H315" s="19" t="str">
        <f aca="false">IF(OR(B315="",NOT(ISNUMBER(E315))),"",SUMIFS($E$6:$E$505,$B$6:$B$505,B315,$F$6:$F$505,F315,$A$6:$A$505,"&lt;="&amp;A315))</f>
        <v/>
      </c>
      <c r="I315" s="19" t="str">
        <f aca="false">IF(H315="","",MAX(0,Setup!$B$5-H315))</f>
        <v/>
      </c>
    </row>
    <row r="316" customFormat="false" ht="15" hidden="false" customHeight="false" outlineLevel="0" collapsed="false">
      <c r="A316" s="16"/>
      <c r="B316" s="17"/>
      <c r="C316" s="18"/>
      <c r="D316" s="18"/>
      <c r="E316" s="19" t="str">
        <f aca="false">IF(OR(C316="",D316=""),"",IF(D316&lt;=C316,"Check times",ROUND((D316-C316)*24,2)))</f>
        <v/>
      </c>
      <c r="F316" s="20" t="str">
        <f aca="false">IF(A316="","",A316-WEEKDAY(A316,3))</f>
        <v/>
      </c>
      <c r="G316" s="21"/>
      <c r="H316" s="19" t="str">
        <f aca="false">IF(OR(B316="",NOT(ISNUMBER(E316))),"",SUMIFS($E$6:$E$505,$B$6:$B$505,B316,$F$6:$F$505,F316,$A$6:$A$505,"&lt;="&amp;A316))</f>
        <v/>
      </c>
      <c r="I316" s="19" t="str">
        <f aca="false">IF(H316="","",MAX(0,Setup!$B$5-H316))</f>
        <v/>
      </c>
    </row>
    <row r="317" customFormat="false" ht="15" hidden="false" customHeight="false" outlineLevel="0" collapsed="false">
      <c r="A317" s="16"/>
      <c r="B317" s="17"/>
      <c r="C317" s="18"/>
      <c r="D317" s="18"/>
      <c r="E317" s="19" t="str">
        <f aca="false">IF(OR(C317="",D317=""),"",IF(D317&lt;=C317,"Check times",ROUND((D317-C317)*24,2)))</f>
        <v/>
      </c>
      <c r="F317" s="20" t="str">
        <f aca="false">IF(A317="","",A317-WEEKDAY(A317,3))</f>
        <v/>
      </c>
      <c r="G317" s="21"/>
      <c r="H317" s="19" t="str">
        <f aca="false">IF(OR(B317="",NOT(ISNUMBER(E317))),"",SUMIFS($E$6:$E$505,$B$6:$B$505,B317,$F$6:$F$505,F317,$A$6:$A$505,"&lt;="&amp;A317))</f>
        <v/>
      </c>
      <c r="I317" s="19" t="str">
        <f aca="false">IF(H317="","",MAX(0,Setup!$B$5-H317))</f>
        <v/>
      </c>
    </row>
    <row r="318" customFormat="false" ht="15" hidden="false" customHeight="false" outlineLevel="0" collapsed="false">
      <c r="A318" s="16"/>
      <c r="B318" s="17"/>
      <c r="C318" s="18"/>
      <c r="D318" s="18"/>
      <c r="E318" s="19" t="str">
        <f aca="false">IF(OR(C318="",D318=""),"",IF(D318&lt;=C318,"Check times",ROUND((D318-C318)*24,2)))</f>
        <v/>
      </c>
      <c r="F318" s="20" t="str">
        <f aca="false">IF(A318="","",A318-WEEKDAY(A318,3))</f>
        <v/>
      </c>
      <c r="G318" s="21"/>
      <c r="H318" s="19" t="str">
        <f aca="false">IF(OR(B318="",NOT(ISNUMBER(E318))),"",SUMIFS($E$6:$E$505,$B$6:$B$505,B318,$F$6:$F$505,F318,$A$6:$A$505,"&lt;="&amp;A318))</f>
        <v/>
      </c>
      <c r="I318" s="19" t="str">
        <f aca="false">IF(H318="","",MAX(0,Setup!$B$5-H318))</f>
        <v/>
      </c>
    </row>
    <row r="319" customFormat="false" ht="15" hidden="false" customHeight="false" outlineLevel="0" collapsed="false">
      <c r="A319" s="16"/>
      <c r="B319" s="17"/>
      <c r="C319" s="18"/>
      <c r="D319" s="18"/>
      <c r="E319" s="19" t="str">
        <f aca="false">IF(OR(C319="",D319=""),"",IF(D319&lt;=C319,"Check times",ROUND((D319-C319)*24,2)))</f>
        <v/>
      </c>
      <c r="F319" s="20" t="str">
        <f aca="false">IF(A319="","",A319-WEEKDAY(A319,3))</f>
        <v/>
      </c>
      <c r="G319" s="21"/>
      <c r="H319" s="19" t="str">
        <f aca="false">IF(OR(B319="",NOT(ISNUMBER(E319))),"",SUMIFS($E$6:$E$505,$B$6:$B$505,B319,$F$6:$F$505,F319,$A$6:$A$505,"&lt;="&amp;A319))</f>
        <v/>
      </c>
      <c r="I319" s="19" t="str">
        <f aca="false">IF(H319="","",MAX(0,Setup!$B$5-H319))</f>
        <v/>
      </c>
    </row>
    <row r="320" customFormat="false" ht="15" hidden="false" customHeight="false" outlineLevel="0" collapsed="false">
      <c r="A320" s="16"/>
      <c r="B320" s="17"/>
      <c r="C320" s="18"/>
      <c r="D320" s="18"/>
      <c r="E320" s="19" t="str">
        <f aca="false">IF(OR(C320="",D320=""),"",IF(D320&lt;=C320,"Check times",ROUND((D320-C320)*24,2)))</f>
        <v/>
      </c>
      <c r="F320" s="20" t="str">
        <f aca="false">IF(A320="","",A320-WEEKDAY(A320,3))</f>
        <v/>
      </c>
      <c r="G320" s="21"/>
      <c r="H320" s="19" t="str">
        <f aca="false">IF(OR(B320="",NOT(ISNUMBER(E320))),"",SUMIFS($E$6:$E$505,$B$6:$B$505,B320,$F$6:$F$505,F320,$A$6:$A$505,"&lt;="&amp;A320))</f>
        <v/>
      </c>
      <c r="I320" s="19" t="str">
        <f aca="false">IF(H320="","",MAX(0,Setup!$B$5-H320))</f>
        <v/>
      </c>
    </row>
    <row r="321" customFormat="false" ht="15" hidden="false" customHeight="false" outlineLevel="0" collapsed="false">
      <c r="A321" s="16"/>
      <c r="B321" s="17"/>
      <c r="C321" s="18"/>
      <c r="D321" s="18"/>
      <c r="E321" s="19" t="str">
        <f aca="false">IF(OR(C321="",D321=""),"",IF(D321&lt;=C321,"Check times",ROUND((D321-C321)*24,2)))</f>
        <v/>
      </c>
      <c r="F321" s="20" t="str">
        <f aca="false">IF(A321="","",A321-WEEKDAY(A321,3))</f>
        <v/>
      </c>
      <c r="G321" s="21"/>
      <c r="H321" s="19" t="str">
        <f aca="false">IF(OR(B321="",NOT(ISNUMBER(E321))),"",SUMIFS($E$6:$E$505,$B$6:$B$505,B321,$F$6:$F$505,F321,$A$6:$A$505,"&lt;="&amp;A321))</f>
        <v/>
      </c>
      <c r="I321" s="19" t="str">
        <f aca="false">IF(H321="","",MAX(0,Setup!$B$5-H321))</f>
        <v/>
      </c>
    </row>
    <row r="322" customFormat="false" ht="15" hidden="false" customHeight="false" outlineLevel="0" collapsed="false">
      <c r="A322" s="16"/>
      <c r="B322" s="17"/>
      <c r="C322" s="18"/>
      <c r="D322" s="18"/>
      <c r="E322" s="19" t="str">
        <f aca="false">IF(OR(C322="",D322=""),"",IF(D322&lt;=C322,"Check times",ROUND((D322-C322)*24,2)))</f>
        <v/>
      </c>
      <c r="F322" s="20" t="str">
        <f aca="false">IF(A322="","",A322-WEEKDAY(A322,3))</f>
        <v/>
      </c>
      <c r="G322" s="21"/>
      <c r="H322" s="19" t="str">
        <f aca="false">IF(OR(B322="",NOT(ISNUMBER(E322))),"",SUMIFS($E$6:$E$505,$B$6:$B$505,B322,$F$6:$F$505,F322,$A$6:$A$505,"&lt;="&amp;A322))</f>
        <v/>
      </c>
      <c r="I322" s="19" t="str">
        <f aca="false">IF(H322="","",MAX(0,Setup!$B$5-H322))</f>
        <v/>
      </c>
    </row>
    <row r="323" customFormat="false" ht="15" hidden="false" customHeight="false" outlineLevel="0" collapsed="false">
      <c r="A323" s="16"/>
      <c r="B323" s="17"/>
      <c r="C323" s="18"/>
      <c r="D323" s="18"/>
      <c r="E323" s="19" t="str">
        <f aca="false">IF(OR(C323="",D323=""),"",IF(D323&lt;=C323,"Check times",ROUND((D323-C323)*24,2)))</f>
        <v/>
      </c>
      <c r="F323" s="20" t="str">
        <f aca="false">IF(A323="","",A323-WEEKDAY(A323,3))</f>
        <v/>
      </c>
      <c r="G323" s="21"/>
      <c r="H323" s="19" t="str">
        <f aca="false">IF(OR(B323="",NOT(ISNUMBER(E323))),"",SUMIFS($E$6:$E$505,$B$6:$B$505,B323,$F$6:$F$505,F323,$A$6:$A$505,"&lt;="&amp;A323))</f>
        <v/>
      </c>
      <c r="I323" s="19" t="str">
        <f aca="false">IF(H323="","",MAX(0,Setup!$B$5-H323))</f>
        <v/>
      </c>
    </row>
    <row r="324" customFormat="false" ht="15" hidden="false" customHeight="false" outlineLevel="0" collapsed="false">
      <c r="A324" s="16"/>
      <c r="B324" s="17"/>
      <c r="C324" s="18"/>
      <c r="D324" s="18"/>
      <c r="E324" s="19" t="str">
        <f aca="false">IF(OR(C324="",D324=""),"",IF(D324&lt;=C324,"Check times",ROUND((D324-C324)*24,2)))</f>
        <v/>
      </c>
      <c r="F324" s="20" t="str">
        <f aca="false">IF(A324="","",A324-WEEKDAY(A324,3))</f>
        <v/>
      </c>
      <c r="G324" s="21"/>
      <c r="H324" s="19" t="str">
        <f aca="false">IF(OR(B324="",NOT(ISNUMBER(E324))),"",SUMIFS($E$6:$E$505,$B$6:$B$505,B324,$F$6:$F$505,F324,$A$6:$A$505,"&lt;="&amp;A324))</f>
        <v/>
      </c>
      <c r="I324" s="19" t="str">
        <f aca="false">IF(H324="","",MAX(0,Setup!$B$5-H324))</f>
        <v/>
      </c>
    </row>
    <row r="325" customFormat="false" ht="15" hidden="false" customHeight="false" outlineLevel="0" collapsed="false">
      <c r="A325" s="16"/>
      <c r="B325" s="17"/>
      <c r="C325" s="18"/>
      <c r="D325" s="18"/>
      <c r="E325" s="19" t="str">
        <f aca="false">IF(OR(C325="",D325=""),"",IF(D325&lt;=C325,"Check times",ROUND((D325-C325)*24,2)))</f>
        <v/>
      </c>
      <c r="F325" s="20" t="str">
        <f aca="false">IF(A325="","",A325-WEEKDAY(A325,3))</f>
        <v/>
      </c>
      <c r="G325" s="21"/>
      <c r="H325" s="19" t="str">
        <f aca="false">IF(OR(B325="",NOT(ISNUMBER(E325))),"",SUMIFS($E$6:$E$505,$B$6:$B$505,B325,$F$6:$F$505,F325,$A$6:$A$505,"&lt;="&amp;A325))</f>
        <v/>
      </c>
      <c r="I325" s="19" t="str">
        <f aca="false">IF(H325="","",MAX(0,Setup!$B$5-H325))</f>
        <v/>
      </c>
    </row>
    <row r="326" customFormat="false" ht="15" hidden="false" customHeight="false" outlineLevel="0" collapsed="false">
      <c r="A326" s="16"/>
      <c r="B326" s="17"/>
      <c r="C326" s="18"/>
      <c r="D326" s="18"/>
      <c r="E326" s="19" t="str">
        <f aca="false">IF(OR(C326="",D326=""),"",IF(D326&lt;=C326,"Check times",ROUND((D326-C326)*24,2)))</f>
        <v/>
      </c>
      <c r="F326" s="20" t="str">
        <f aca="false">IF(A326="","",A326-WEEKDAY(A326,3))</f>
        <v/>
      </c>
      <c r="G326" s="21"/>
      <c r="H326" s="19" t="str">
        <f aca="false">IF(OR(B326="",NOT(ISNUMBER(E326))),"",SUMIFS($E$6:$E$505,$B$6:$B$505,B326,$F$6:$F$505,F326,$A$6:$A$505,"&lt;="&amp;A326))</f>
        <v/>
      </c>
      <c r="I326" s="19" t="str">
        <f aca="false">IF(H326="","",MAX(0,Setup!$B$5-H326))</f>
        <v/>
      </c>
    </row>
    <row r="327" customFormat="false" ht="15" hidden="false" customHeight="false" outlineLevel="0" collapsed="false">
      <c r="A327" s="16"/>
      <c r="B327" s="17"/>
      <c r="C327" s="18"/>
      <c r="D327" s="18"/>
      <c r="E327" s="19" t="str">
        <f aca="false">IF(OR(C327="",D327=""),"",IF(D327&lt;=C327,"Check times",ROUND((D327-C327)*24,2)))</f>
        <v/>
      </c>
      <c r="F327" s="20" t="str">
        <f aca="false">IF(A327="","",A327-WEEKDAY(A327,3))</f>
        <v/>
      </c>
      <c r="G327" s="21"/>
      <c r="H327" s="19" t="str">
        <f aca="false">IF(OR(B327="",NOT(ISNUMBER(E327))),"",SUMIFS($E$6:$E$505,$B$6:$B$505,B327,$F$6:$F$505,F327,$A$6:$A$505,"&lt;="&amp;A327))</f>
        <v/>
      </c>
      <c r="I327" s="19" t="str">
        <f aca="false">IF(H327="","",MAX(0,Setup!$B$5-H327))</f>
        <v/>
      </c>
    </row>
    <row r="328" customFormat="false" ht="15" hidden="false" customHeight="false" outlineLevel="0" collapsed="false">
      <c r="A328" s="16"/>
      <c r="B328" s="17"/>
      <c r="C328" s="18"/>
      <c r="D328" s="18"/>
      <c r="E328" s="19" t="str">
        <f aca="false">IF(OR(C328="",D328=""),"",IF(D328&lt;=C328,"Check times",ROUND((D328-C328)*24,2)))</f>
        <v/>
      </c>
      <c r="F328" s="20" t="str">
        <f aca="false">IF(A328="","",A328-WEEKDAY(A328,3))</f>
        <v/>
      </c>
      <c r="G328" s="21"/>
      <c r="H328" s="19" t="str">
        <f aca="false">IF(OR(B328="",NOT(ISNUMBER(E328))),"",SUMIFS($E$6:$E$505,$B$6:$B$505,B328,$F$6:$F$505,F328,$A$6:$A$505,"&lt;="&amp;A328))</f>
        <v/>
      </c>
      <c r="I328" s="19" t="str">
        <f aca="false">IF(H328="","",MAX(0,Setup!$B$5-H328))</f>
        <v/>
      </c>
    </row>
    <row r="329" customFormat="false" ht="15" hidden="false" customHeight="false" outlineLevel="0" collapsed="false">
      <c r="A329" s="16"/>
      <c r="B329" s="17"/>
      <c r="C329" s="18"/>
      <c r="D329" s="18"/>
      <c r="E329" s="19" t="str">
        <f aca="false">IF(OR(C329="",D329=""),"",IF(D329&lt;=C329,"Check times",ROUND((D329-C329)*24,2)))</f>
        <v/>
      </c>
      <c r="F329" s="20" t="str">
        <f aca="false">IF(A329="","",A329-WEEKDAY(A329,3))</f>
        <v/>
      </c>
      <c r="G329" s="21"/>
      <c r="H329" s="19" t="str">
        <f aca="false">IF(OR(B329="",NOT(ISNUMBER(E329))),"",SUMIFS($E$6:$E$505,$B$6:$B$505,B329,$F$6:$F$505,F329,$A$6:$A$505,"&lt;="&amp;A329))</f>
        <v/>
      </c>
      <c r="I329" s="19" t="str">
        <f aca="false">IF(H329="","",MAX(0,Setup!$B$5-H329))</f>
        <v/>
      </c>
    </row>
    <row r="330" customFormat="false" ht="15" hidden="false" customHeight="false" outlineLevel="0" collapsed="false">
      <c r="A330" s="16"/>
      <c r="B330" s="17"/>
      <c r="C330" s="18"/>
      <c r="D330" s="18"/>
      <c r="E330" s="19" t="str">
        <f aca="false">IF(OR(C330="",D330=""),"",IF(D330&lt;=C330,"Check times",ROUND((D330-C330)*24,2)))</f>
        <v/>
      </c>
      <c r="F330" s="20" t="str">
        <f aca="false">IF(A330="","",A330-WEEKDAY(A330,3))</f>
        <v/>
      </c>
      <c r="G330" s="21"/>
      <c r="H330" s="19" t="str">
        <f aca="false">IF(OR(B330="",NOT(ISNUMBER(E330))),"",SUMIFS($E$6:$E$505,$B$6:$B$505,B330,$F$6:$F$505,F330,$A$6:$A$505,"&lt;="&amp;A330))</f>
        <v/>
      </c>
      <c r="I330" s="19" t="str">
        <f aca="false">IF(H330="","",MAX(0,Setup!$B$5-H330))</f>
        <v/>
      </c>
    </row>
    <row r="331" customFormat="false" ht="15" hidden="false" customHeight="false" outlineLevel="0" collapsed="false">
      <c r="A331" s="16"/>
      <c r="B331" s="17"/>
      <c r="C331" s="18"/>
      <c r="D331" s="18"/>
      <c r="E331" s="19" t="str">
        <f aca="false">IF(OR(C331="",D331=""),"",IF(D331&lt;=C331,"Check times",ROUND((D331-C331)*24,2)))</f>
        <v/>
      </c>
      <c r="F331" s="20" t="str">
        <f aca="false">IF(A331="","",A331-WEEKDAY(A331,3))</f>
        <v/>
      </c>
      <c r="G331" s="21"/>
      <c r="H331" s="19" t="str">
        <f aca="false">IF(OR(B331="",NOT(ISNUMBER(E331))),"",SUMIFS($E$6:$E$505,$B$6:$B$505,B331,$F$6:$F$505,F331,$A$6:$A$505,"&lt;="&amp;A331))</f>
        <v/>
      </c>
      <c r="I331" s="19" t="str">
        <f aca="false">IF(H331="","",MAX(0,Setup!$B$5-H331))</f>
        <v/>
      </c>
    </row>
    <row r="332" customFormat="false" ht="15" hidden="false" customHeight="false" outlineLevel="0" collapsed="false">
      <c r="A332" s="16"/>
      <c r="B332" s="17"/>
      <c r="C332" s="18"/>
      <c r="D332" s="18"/>
      <c r="E332" s="19" t="str">
        <f aca="false">IF(OR(C332="",D332=""),"",IF(D332&lt;=C332,"Check times",ROUND((D332-C332)*24,2)))</f>
        <v/>
      </c>
      <c r="F332" s="20" t="str">
        <f aca="false">IF(A332="","",A332-WEEKDAY(A332,3))</f>
        <v/>
      </c>
      <c r="G332" s="21"/>
      <c r="H332" s="19" t="str">
        <f aca="false">IF(OR(B332="",NOT(ISNUMBER(E332))),"",SUMIFS($E$6:$E$505,$B$6:$B$505,B332,$F$6:$F$505,F332,$A$6:$A$505,"&lt;="&amp;A332))</f>
        <v/>
      </c>
      <c r="I332" s="19" t="str">
        <f aca="false">IF(H332="","",MAX(0,Setup!$B$5-H332))</f>
        <v/>
      </c>
    </row>
    <row r="333" customFormat="false" ht="15" hidden="false" customHeight="false" outlineLevel="0" collapsed="false">
      <c r="A333" s="16"/>
      <c r="B333" s="17"/>
      <c r="C333" s="18"/>
      <c r="D333" s="18"/>
      <c r="E333" s="19" t="str">
        <f aca="false">IF(OR(C333="",D333=""),"",IF(D333&lt;=C333,"Check times",ROUND((D333-C333)*24,2)))</f>
        <v/>
      </c>
      <c r="F333" s="20" t="str">
        <f aca="false">IF(A333="","",A333-WEEKDAY(A333,3))</f>
        <v/>
      </c>
      <c r="G333" s="21"/>
      <c r="H333" s="19" t="str">
        <f aca="false">IF(OR(B333="",NOT(ISNUMBER(E333))),"",SUMIFS($E$6:$E$505,$B$6:$B$505,B333,$F$6:$F$505,F333,$A$6:$A$505,"&lt;="&amp;A333))</f>
        <v/>
      </c>
      <c r="I333" s="19" t="str">
        <f aca="false">IF(H333="","",MAX(0,Setup!$B$5-H333))</f>
        <v/>
      </c>
    </row>
    <row r="334" customFormat="false" ht="15" hidden="false" customHeight="false" outlineLevel="0" collapsed="false">
      <c r="A334" s="16"/>
      <c r="B334" s="17"/>
      <c r="C334" s="18"/>
      <c r="D334" s="18"/>
      <c r="E334" s="19" t="str">
        <f aca="false">IF(OR(C334="",D334=""),"",IF(D334&lt;=C334,"Check times",ROUND((D334-C334)*24,2)))</f>
        <v/>
      </c>
      <c r="F334" s="20" t="str">
        <f aca="false">IF(A334="","",A334-WEEKDAY(A334,3))</f>
        <v/>
      </c>
      <c r="G334" s="21"/>
      <c r="H334" s="19" t="str">
        <f aca="false">IF(OR(B334="",NOT(ISNUMBER(E334))),"",SUMIFS($E$6:$E$505,$B$6:$B$505,B334,$F$6:$F$505,F334,$A$6:$A$505,"&lt;="&amp;A334))</f>
        <v/>
      </c>
      <c r="I334" s="19" t="str">
        <f aca="false">IF(H334="","",MAX(0,Setup!$B$5-H334))</f>
        <v/>
      </c>
    </row>
    <row r="335" customFormat="false" ht="15" hidden="false" customHeight="false" outlineLevel="0" collapsed="false">
      <c r="A335" s="16"/>
      <c r="B335" s="17"/>
      <c r="C335" s="18"/>
      <c r="D335" s="18"/>
      <c r="E335" s="19" t="str">
        <f aca="false">IF(OR(C335="",D335=""),"",IF(D335&lt;=C335,"Check times",ROUND((D335-C335)*24,2)))</f>
        <v/>
      </c>
      <c r="F335" s="20" t="str">
        <f aca="false">IF(A335="","",A335-WEEKDAY(A335,3))</f>
        <v/>
      </c>
      <c r="G335" s="21"/>
      <c r="H335" s="19" t="str">
        <f aca="false">IF(OR(B335="",NOT(ISNUMBER(E335))),"",SUMIFS($E$6:$E$505,$B$6:$B$505,B335,$F$6:$F$505,F335,$A$6:$A$505,"&lt;="&amp;A335))</f>
        <v/>
      </c>
      <c r="I335" s="19" t="str">
        <f aca="false">IF(H335="","",MAX(0,Setup!$B$5-H335))</f>
        <v/>
      </c>
    </row>
    <row r="336" customFormat="false" ht="15" hidden="false" customHeight="false" outlineLevel="0" collapsed="false">
      <c r="A336" s="16"/>
      <c r="B336" s="17"/>
      <c r="C336" s="18"/>
      <c r="D336" s="18"/>
      <c r="E336" s="19" t="str">
        <f aca="false">IF(OR(C336="",D336=""),"",IF(D336&lt;=C336,"Check times",ROUND((D336-C336)*24,2)))</f>
        <v/>
      </c>
      <c r="F336" s="20" t="str">
        <f aca="false">IF(A336="","",A336-WEEKDAY(A336,3))</f>
        <v/>
      </c>
      <c r="G336" s="21"/>
      <c r="H336" s="19" t="str">
        <f aca="false">IF(OR(B336="",NOT(ISNUMBER(E336))),"",SUMIFS($E$6:$E$505,$B$6:$B$505,B336,$F$6:$F$505,F336,$A$6:$A$505,"&lt;="&amp;A336))</f>
        <v/>
      </c>
      <c r="I336" s="19" t="str">
        <f aca="false">IF(H336="","",MAX(0,Setup!$B$5-H336))</f>
        <v/>
      </c>
    </row>
    <row r="337" customFormat="false" ht="15" hidden="false" customHeight="false" outlineLevel="0" collapsed="false">
      <c r="A337" s="16"/>
      <c r="B337" s="17"/>
      <c r="C337" s="18"/>
      <c r="D337" s="18"/>
      <c r="E337" s="19" t="str">
        <f aca="false">IF(OR(C337="",D337=""),"",IF(D337&lt;=C337,"Check times",ROUND((D337-C337)*24,2)))</f>
        <v/>
      </c>
      <c r="F337" s="20" t="str">
        <f aca="false">IF(A337="","",A337-WEEKDAY(A337,3))</f>
        <v/>
      </c>
      <c r="G337" s="21"/>
      <c r="H337" s="19" t="str">
        <f aca="false">IF(OR(B337="",NOT(ISNUMBER(E337))),"",SUMIFS($E$6:$E$505,$B$6:$B$505,B337,$F$6:$F$505,F337,$A$6:$A$505,"&lt;="&amp;A337))</f>
        <v/>
      </c>
      <c r="I337" s="19" t="str">
        <f aca="false">IF(H337="","",MAX(0,Setup!$B$5-H337))</f>
        <v/>
      </c>
    </row>
    <row r="338" customFormat="false" ht="15" hidden="false" customHeight="false" outlineLevel="0" collapsed="false">
      <c r="A338" s="16"/>
      <c r="B338" s="17"/>
      <c r="C338" s="18"/>
      <c r="D338" s="18"/>
      <c r="E338" s="19" t="str">
        <f aca="false">IF(OR(C338="",D338=""),"",IF(D338&lt;=C338,"Check times",ROUND((D338-C338)*24,2)))</f>
        <v/>
      </c>
      <c r="F338" s="20" t="str">
        <f aca="false">IF(A338="","",A338-WEEKDAY(A338,3))</f>
        <v/>
      </c>
      <c r="G338" s="21"/>
      <c r="H338" s="19" t="str">
        <f aca="false">IF(OR(B338="",NOT(ISNUMBER(E338))),"",SUMIFS($E$6:$E$505,$B$6:$B$505,B338,$F$6:$F$505,F338,$A$6:$A$505,"&lt;="&amp;A338))</f>
        <v/>
      </c>
      <c r="I338" s="19" t="str">
        <f aca="false">IF(H338="","",MAX(0,Setup!$B$5-H338))</f>
        <v/>
      </c>
    </row>
    <row r="339" customFormat="false" ht="15" hidden="false" customHeight="false" outlineLevel="0" collapsed="false">
      <c r="A339" s="16"/>
      <c r="B339" s="17"/>
      <c r="C339" s="18"/>
      <c r="D339" s="18"/>
      <c r="E339" s="19" t="str">
        <f aca="false">IF(OR(C339="",D339=""),"",IF(D339&lt;=C339,"Check times",ROUND((D339-C339)*24,2)))</f>
        <v/>
      </c>
      <c r="F339" s="20" t="str">
        <f aca="false">IF(A339="","",A339-WEEKDAY(A339,3))</f>
        <v/>
      </c>
      <c r="G339" s="21"/>
      <c r="H339" s="19" t="str">
        <f aca="false">IF(OR(B339="",NOT(ISNUMBER(E339))),"",SUMIFS($E$6:$E$505,$B$6:$B$505,B339,$F$6:$F$505,F339,$A$6:$A$505,"&lt;="&amp;A339))</f>
        <v/>
      </c>
      <c r="I339" s="19" t="str">
        <f aca="false">IF(H339="","",MAX(0,Setup!$B$5-H339))</f>
        <v/>
      </c>
    </row>
    <row r="340" customFormat="false" ht="15" hidden="false" customHeight="false" outlineLevel="0" collapsed="false">
      <c r="A340" s="16"/>
      <c r="B340" s="17"/>
      <c r="C340" s="18"/>
      <c r="D340" s="18"/>
      <c r="E340" s="19" t="str">
        <f aca="false">IF(OR(C340="",D340=""),"",IF(D340&lt;=C340,"Check times",ROUND((D340-C340)*24,2)))</f>
        <v/>
      </c>
      <c r="F340" s="20" t="str">
        <f aca="false">IF(A340="","",A340-WEEKDAY(A340,3))</f>
        <v/>
      </c>
      <c r="G340" s="21"/>
      <c r="H340" s="19" t="str">
        <f aca="false">IF(OR(B340="",NOT(ISNUMBER(E340))),"",SUMIFS($E$6:$E$505,$B$6:$B$505,B340,$F$6:$F$505,F340,$A$6:$A$505,"&lt;="&amp;A340))</f>
        <v/>
      </c>
      <c r="I340" s="19" t="str">
        <f aca="false">IF(H340="","",MAX(0,Setup!$B$5-H340))</f>
        <v/>
      </c>
    </row>
    <row r="341" customFormat="false" ht="15" hidden="false" customHeight="false" outlineLevel="0" collapsed="false">
      <c r="A341" s="16"/>
      <c r="B341" s="17"/>
      <c r="C341" s="18"/>
      <c r="D341" s="18"/>
      <c r="E341" s="19" t="str">
        <f aca="false">IF(OR(C341="",D341=""),"",IF(D341&lt;=C341,"Check times",ROUND((D341-C341)*24,2)))</f>
        <v/>
      </c>
      <c r="F341" s="20" t="str">
        <f aca="false">IF(A341="","",A341-WEEKDAY(A341,3))</f>
        <v/>
      </c>
      <c r="G341" s="21"/>
      <c r="H341" s="19" t="str">
        <f aca="false">IF(OR(B341="",NOT(ISNUMBER(E341))),"",SUMIFS($E$6:$E$505,$B$6:$B$505,B341,$F$6:$F$505,F341,$A$6:$A$505,"&lt;="&amp;A341))</f>
        <v/>
      </c>
      <c r="I341" s="19" t="str">
        <f aca="false">IF(H341="","",MAX(0,Setup!$B$5-H341))</f>
        <v/>
      </c>
    </row>
    <row r="342" customFormat="false" ht="15" hidden="false" customHeight="false" outlineLevel="0" collapsed="false">
      <c r="A342" s="16"/>
      <c r="B342" s="17"/>
      <c r="C342" s="18"/>
      <c r="D342" s="18"/>
      <c r="E342" s="19" t="str">
        <f aca="false">IF(OR(C342="",D342=""),"",IF(D342&lt;=C342,"Check times",ROUND((D342-C342)*24,2)))</f>
        <v/>
      </c>
      <c r="F342" s="20" t="str">
        <f aca="false">IF(A342="","",A342-WEEKDAY(A342,3))</f>
        <v/>
      </c>
      <c r="G342" s="21"/>
      <c r="H342" s="19" t="str">
        <f aca="false">IF(OR(B342="",NOT(ISNUMBER(E342))),"",SUMIFS($E$6:$E$505,$B$6:$B$505,B342,$F$6:$F$505,F342,$A$6:$A$505,"&lt;="&amp;A342))</f>
        <v/>
      </c>
      <c r="I342" s="19" t="str">
        <f aca="false">IF(H342="","",MAX(0,Setup!$B$5-H342))</f>
        <v/>
      </c>
    </row>
    <row r="343" customFormat="false" ht="15" hidden="false" customHeight="false" outlineLevel="0" collapsed="false">
      <c r="A343" s="16"/>
      <c r="B343" s="17"/>
      <c r="C343" s="18"/>
      <c r="D343" s="18"/>
      <c r="E343" s="19" t="str">
        <f aca="false">IF(OR(C343="",D343=""),"",IF(D343&lt;=C343,"Check times",ROUND((D343-C343)*24,2)))</f>
        <v/>
      </c>
      <c r="F343" s="20" t="str">
        <f aca="false">IF(A343="","",A343-WEEKDAY(A343,3))</f>
        <v/>
      </c>
      <c r="G343" s="21"/>
      <c r="H343" s="19" t="str">
        <f aca="false">IF(OR(B343="",NOT(ISNUMBER(E343))),"",SUMIFS($E$6:$E$505,$B$6:$B$505,B343,$F$6:$F$505,F343,$A$6:$A$505,"&lt;="&amp;A343))</f>
        <v/>
      </c>
      <c r="I343" s="19" t="str">
        <f aca="false">IF(H343="","",MAX(0,Setup!$B$5-H343))</f>
        <v/>
      </c>
    </row>
    <row r="344" customFormat="false" ht="15" hidden="false" customHeight="false" outlineLevel="0" collapsed="false">
      <c r="A344" s="16"/>
      <c r="B344" s="17"/>
      <c r="C344" s="18"/>
      <c r="D344" s="18"/>
      <c r="E344" s="19" t="str">
        <f aca="false">IF(OR(C344="",D344=""),"",IF(D344&lt;=C344,"Check times",ROUND((D344-C344)*24,2)))</f>
        <v/>
      </c>
      <c r="F344" s="20" t="str">
        <f aca="false">IF(A344="","",A344-WEEKDAY(A344,3))</f>
        <v/>
      </c>
      <c r="G344" s="21"/>
      <c r="H344" s="19" t="str">
        <f aca="false">IF(OR(B344="",NOT(ISNUMBER(E344))),"",SUMIFS($E$6:$E$505,$B$6:$B$505,B344,$F$6:$F$505,F344,$A$6:$A$505,"&lt;="&amp;A344))</f>
        <v/>
      </c>
      <c r="I344" s="19" t="str">
        <f aca="false">IF(H344="","",MAX(0,Setup!$B$5-H344))</f>
        <v/>
      </c>
    </row>
    <row r="345" customFormat="false" ht="15" hidden="false" customHeight="false" outlineLevel="0" collapsed="false">
      <c r="A345" s="16"/>
      <c r="B345" s="17"/>
      <c r="C345" s="18"/>
      <c r="D345" s="18"/>
      <c r="E345" s="19" t="str">
        <f aca="false">IF(OR(C345="",D345=""),"",IF(D345&lt;=C345,"Check times",ROUND((D345-C345)*24,2)))</f>
        <v/>
      </c>
      <c r="F345" s="20" t="str">
        <f aca="false">IF(A345="","",A345-WEEKDAY(A345,3))</f>
        <v/>
      </c>
      <c r="G345" s="21"/>
      <c r="H345" s="19" t="str">
        <f aca="false">IF(OR(B345="",NOT(ISNUMBER(E345))),"",SUMIFS($E$6:$E$505,$B$6:$B$505,B345,$F$6:$F$505,F345,$A$6:$A$505,"&lt;="&amp;A345))</f>
        <v/>
      </c>
      <c r="I345" s="19" t="str">
        <f aca="false">IF(H345="","",MAX(0,Setup!$B$5-H345))</f>
        <v/>
      </c>
    </row>
    <row r="346" customFormat="false" ht="15" hidden="false" customHeight="false" outlineLevel="0" collapsed="false">
      <c r="A346" s="16"/>
      <c r="B346" s="17"/>
      <c r="C346" s="18"/>
      <c r="D346" s="18"/>
      <c r="E346" s="19" t="str">
        <f aca="false">IF(OR(C346="",D346=""),"",IF(D346&lt;=C346,"Check times",ROUND((D346-C346)*24,2)))</f>
        <v/>
      </c>
      <c r="F346" s="20" t="str">
        <f aca="false">IF(A346="","",A346-WEEKDAY(A346,3))</f>
        <v/>
      </c>
      <c r="G346" s="21"/>
      <c r="H346" s="19" t="str">
        <f aca="false">IF(OR(B346="",NOT(ISNUMBER(E346))),"",SUMIFS($E$6:$E$505,$B$6:$B$505,B346,$F$6:$F$505,F346,$A$6:$A$505,"&lt;="&amp;A346))</f>
        <v/>
      </c>
      <c r="I346" s="19" t="str">
        <f aca="false">IF(H346="","",MAX(0,Setup!$B$5-H346))</f>
        <v/>
      </c>
    </row>
    <row r="347" customFormat="false" ht="15" hidden="false" customHeight="false" outlineLevel="0" collapsed="false">
      <c r="A347" s="16"/>
      <c r="B347" s="17"/>
      <c r="C347" s="18"/>
      <c r="D347" s="18"/>
      <c r="E347" s="19" t="str">
        <f aca="false">IF(OR(C347="",D347=""),"",IF(D347&lt;=C347,"Check times",ROUND((D347-C347)*24,2)))</f>
        <v/>
      </c>
      <c r="F347" s="20" t="str">
        <f aca="false">IF(A347="","",A347-WEEKDAY(A347,3))</f>
        <v/>
      </c>
      <c r="G347" s="21"/>
      <c r="H347" s="19" t="str">
        <f aca="false">IF(OR(B347="",NOT(ISNUMBER(E347))),"",SUMIFS($E$6:$E$505,$B$6:$B$505,B347,$F$6:$F$505,F347,$A$6:$A$505,"&lt;="&amp;A347))</f>
        <v/>
      </c>
      <c r="I347" s="19" t="str">
        <f aca="false">IF(H347="","",MAX(0,Setup!$B$5-H347))</f>
        <v/>
      </c>
    </row>
    <row r="348" customFormat="false" ht="15" hidden="false" customHeight="false" outlineLevel="0" collapsed="false">
      <c r="A348" s="16"/>
      <c r="B348" s="17"/>
      <c r="C348" s="18"/>
      <c r="D348" s="18"/>
      <c r="E348" s="19" t="str">
        <f aca="false">IF(OR(C348="",D348=""),"",IF(D348&lt;=C348,"Check times",ROUND((D348-C348)*24,2)))</f>
        <v/>
      </c>
      <c r="F348" s="20" t="str">
        <f aca="false">IF(A348="","",A348-WEEKDAY(A348,3))</f>
        <v/>
      </c>
      <c r="G348" s="21"/>
      <c r="H348" s="19" t="str">
        <f aca="false">IF(OR(B348="",NOT(ISNUMBER(E348))),"",SUMIFS($E$6:$E$505,$B$6:$B$505,B348,$F$6:$F$505,F348,$A$6:$A$505,"&lt;="&amp;A348))</f>
        <v/>
      </c>
      <c r="I348" s="19" t="str">
        <f aca="false">IF(H348="","",MAX(0,Setup!$B$5-H348))</f>
        <v/>
      </c>
    </row>
    <row r="349" customFormat="false" ht="15" hidden="false" customHeight="false" outlineLevel="0" collapsed="false">
      <c r="A349" s="16"/>
      <c r="B349" s="17"/>
      <c r="C349" s="18"/>
      <c r="D349" s="18"/>
      <c r="E349" s="19" t="str">
        <f aca="false">IF(OR(C349="",D349=""),"",IF(D349&lt;=C349,"Check times",ROUND((D349-C349)*24,2)))</f>
        <v/>
      </c>
      <c r="F349" s="20" t="str">
        <f aca="false">IF(A349="","",A349-WEEKDAY(A349,3))</f>
        <v/>
      </c>
      <c r="G349" s="21"/>
      <c r="H349" s="19" t="str">
        <f aca="false">IF(OR(B349="",NOT(ISNUMBER(E349))),"",SUMIFS($E$6:$E$505,$B$6:$B$505,B349,$F$6:$F$505,F349,$A$6:$A$505,"&lt;="&amp;A349))</f>
        <v/>
      </c>
      <c r="I349" s="19" t="str">
        <f aca="false">IF(H349="","",MAX(0,Setup!$B$5-H349))</f>
        <v/>
      </c>
    </row>
    <row r="350" customFormat="false" ht="15" hidden="false" customHeight="false" outlineLevel="0" collapsed="false">
      <c r="A350" s="16"/>
      <c r="B350" s="17"/>
      <c r="C350" s="18"/>
      <c r="D350" s="18"/>
      <c r="E350" s="19" t="str">
        <f aca="false">IF(OR(C350="",D350=""),"",IF(D350&lt;=C350,"Check times",ROUND((D350-C350)*24,2)))</f>
        <v/>
      </c>
      <c r="F350" s="20" t="str">
        <f aca="false">IF(A350="","",A350-WEEKDAY(A350,3))</f>
        <v/>
      </c>
      <c r="G350" s="21"/>
      <c r="H350" s="19" t="str">
        <f aca="false">IF(OR(B350="",NOT(ISNUMBER(E350))),"",SUMIFS($E$6:$E$505,$B$6:$B$505,B350,$F$6:$F$505,F350,$A$6:$A$505,"&lt;="&amp;A350))</f>
        <v/>
      </c>
      <c r="I350" s="19" t="str">
        <f aca="false">IF(H350="","",MAX(0,Setup!$B$5-H350))</f>
        <v/>
      </c>
    </row>
    <row r="351" customFormat="false" ht="15" hidden="false" customHeight="false" outlineLevel="0" collapsed="false">
      <c r="A351" s="16"/>
      <c r="B351" s="17"/>
      <c r="C351" s="18"/>
      <c r="D351" s="18"/>
      <c r="E351" s="19" t="str">
        <f aca="false">IF(OR(C351="",D351=""),"",IF(D351&lt;=C351,"Check times",ROUND((D351-C351)*24,2)))</f>
        <v/>
      </c>
      <c r="F351" s="20" t="str">
        <f aca="false">IF(A351="","",A351-WEEKDAY(A351,3))</f>
        <v/>
      </c>
      <c r="G351" s="21"/>
      <c r="H351" s="19" t="str">
        <f aca="false">IF(OR(B351="",NOT(ISNUMBER(E351))),"",SUMIFS($E$6:$E$505,$B$6:$B$505,B351,$F$6:$F$505,F351,$A$6:$A$505,"&lt;="&amp;A351))</f>
        <v/>
      </c>
      <c r="I351" s="19" t="str">
        <f aca="false">IF(H351="","",MAX(0,Setup!$B$5-H351))</f>
        <v/>
      </c>
    </row>
    <row r="352" customFormat="false" ht="15" hidden="false" customHeight="false" outlineLevel="0" collapsed="false">
      <c r="A352" s="16"/>
      <c r="B352" s="17"/>
      <c r="C352" s="18"/>
      <c r="D352" s="18"/>
      <c r="E352" s="19" t="str">
        <f aca="false">IF(OR(C352="",D352=""),"",IF(D352&lt;=C352,"Check times",ROUND((D352-C352)*24,2)))</f>
        <v/>
      </c>
      <c r="F352" s="20" t="str">
        <f aca="false">IF(A352="","",A352-WEEKDAY(A352,3))</f>
        <v/>
      </c>
      <c r="G352" s="21"/>
      <c r="H352" s="19" t="str">
        <f aca="false">IF(OR(B352="",NOT(ISNUMBER(E352))),"",SUMIFS($E$6:$E$505,$B$6:$B$505,B352,$F$6:$F$505,F352,$A$6:$A$505,"&lt;="&amp;A352))</f>
        <v/>
      </c>
      <c r="I352" s="19" t="str">
        <f aca="false">IF(H352="","",MAX(0,Setup!$B$5-H352))</f>
        <v/>
      </c>
    </row>
    <row r="353" customFormat="false" ht="15" hidden="false" customHeight="false" outlineLevel="0" collapsed="false">
      <c r="A353" s="16"/>
      <c r="B353" s="17"/>
      <c r="C353" s="18"/>
      <c r="D353" s="18"/>
      <c r="E353" s="19" t="str">
        <f aca="false">IF(OR(C353="",D353=""),"",IF(D353&lt;=C353,"Check times",ROUND((D353-C353)*24,2)))</f>
        <v/>
      </c>
      <c r="F353" s="20" t="str">
        <f aca="false">IF(A353="","",A353-WEEKDAY(A353,3))</f>
        <v/>
      </c>
      <c r="G353" s="21"/>
      <c r="H353" s="19" t="str">
        <f aca="false">IF(OR(B353="",NOT(ISNUMBER(E353))),"",SUMIFS($E$6:$E$505,$B$6:$B$505,B353,$F$6:$F$505,F353,$A$6:$A$505,"&lt;="&amp;A353))</f>
        <v/>
      </c>
      <c r="I353" s="19" t="str">
        <f aca="false">IF(H353="","",MAX(0,Setup!$B$5-H353))</f>
        <v/>
      </c>
    </row>
    <row r="354" customFormat="false" ht="15" hidden="false" customHeight="false" outlineLevel="0" collapsed="false">
      <c r="A354" s="16"/>
      <c r="B354" s="17"/>
      <c r="C354" s="18"/>
      <c r="D354" s="18"/>
      <c r="E354" s="19" t="str">
        <f aca="false">IF(OR(C354="",D354=""),"",IF(D354&lt;=C354,"Check times",ROUND((D354-C354)*24,2)))</f>
        <v/>
      </c>
      <c r="F354" s="20" t="str">
        <f aca="false">IF(A354="","",A354-WEEKDAY(A354,3))</f>
        <v/>
      </c>
      <c r="G354" s="21"/>
      <c r="H354" s="19" t="str">
        <f aca="false">IF(OR(B354="",NOT(ISNUMBER(E354))),"",SUMIFS($E$6:$E$505,$B$6:$B$505,B354,$F$6:$F$505,F354,$A$6:$A$505,"&lt;="&amp;A354))</f>
        <v/>
      </c>
      <c r="I354" s="19" t="str">
        <f aca="false">IF(H354="","",MAX(0,Setup!$B$5-H354))</f>
        <v/>
      </c>
    </row>
    <row r="355" customFormat="false" ht="15" hidden="false" customHeight="false" outlineLevel="0" collapsed="false">
      <c r="A355" s="16"/>
      <c r="B355" s="17"/>
      <c r="C355" s="18"/>
      <c r="D355" s="18"/>
      <c r="E355" s="19" t="str">
        <f aca="false">IF(OR(C355="",D355=""),"",IF(D355&lt;=C355,"Check times",ROUND((D355-C355)*24,2)))</f>
        <v/>
      </c>
      <c r="F355" s="20" t="str">
        <f aca="false">IF(A355="","",A355-WEEKDAY(A355,3))</f>
        <v/>
      </c>
      <c r="G355" s="21"/>
      <c r="H355" s="19" t="str">
        <f aca="false">IF(OR(B355="",NOT(ISNUMBER(E355))),"",SUMIFS($E$6:$E$505,$B$6:$B$505,B355,$F$6:$F$505,F355,$A$6:$A$505,"&lt;="&amp;A355))</f>
        <v/>
      </c>
      <c r="I355" s="19" t="str">
        <f aca="false">IF(H355="","",MAX(0,Setup!$B$5-H355))</f>
        <v/>
      </c>
    </row>
    <row r="356" customFormat="false" ht="15" hidden="false" customHeight="false" outlineLevel="0" collapsed="false">
      <c r="A356" s="16"/>
      <c r="B356" s="17"/>
      <c r="C356" s="18"/>
      <c r="D356" s="18"/>
      <c r="E356" s="19" t="str">
        <f aca="false">IF(OR(C356="",D356=""),"",IF(D356&lt;=C356,"Check times",ROUND((D356-C356)*24,2)))</f>
        <v/>
      </c>
      <c r="F356" s="20" t="str">
        <f aca="false">IF(A356="","",A356-WEEKDAY(A356,3))</f>
        <v/>
      </c>
      <c r="G356" s="21"/>
      <c r="H356" s="19" t="str">
        <f aca="false">IF(OR(B356="",NOT(ISNUMBER(E356))),"",SUMIFS($E$6:$E$505,$B$6:$B$505,B356,$F$6:$F$505,F356,$A$6:$A$505,"&lt;="&amp;A356))</f>
        <v/>
      </c>
      <c r="I356" s="19" t="str">
        <f aca="false">IF(H356="","",MAX(0,Setup!$B$5-H356))</f>
        <v/>
      </c>
    </row>
    <row r="357" customFormat="false" ht="15" hidden="false" customHeight="false" outlineLevel="0" collapsed="false">
      <c r="A357" s="16"/>
      <c r="B357" s="17"/>
      <c r="C357" s="18"/>
      <c r="D357" s="18"/>
      <c r="E357" s="19" t="str">
        <f aca="false">IF(OR(C357="",D357=""),"",IF(D357&lt;=C357,"Check times",ROUND((D357-C357)*24,2)))</f>
        <v/>
      </c>
      <c r="F357" s="20" t="str">
        <f aca="false">IF(A357="","",A357-WEEKDAY(A357,3))</f>
        <v/>
      </c>
      <c r="G357" s="21"/>
      <c r="H357" s="19" t="str">
        <f aca="false">IF(OR(B357="",NOT(ISNUMBER(E357))),"",SUMIFS($E$6:$E$505,$B$6:$B$505,B357,$F$6:$F$505,F357,$A$6:$A$505,"&lt;="&amp;A357))</f>
        <v/>
      </c>
      <c r="I357" s="19" t="str">
        <f aca="false">IF(H357="","",MAX(0,Setup!$B$5-H357))</f>
        <v/>
      </c>
    </row>
    <row r="358" customFormat="false" ht="15" hidden="false" customHeight="false" outlineLevel="0" collapsed="false">
      <c r="A358" s="16"/>
      <c r="B358" s="17"/>
      <c r="C358" s="18"/>
      <c r="D358" s="18"/>
      <c r="E358" s="19" t="str">
        <f aca="false">IF(OR(C358="",D358=""),"",IF(D358&lt;=C358,"Check times",ROUND((D358-C358)*24,2)))</f>
        <v/>
      </c>
      <c r="F358" s="20" t="str">
        <f aca="false">IF(A358="","",A358-WEEKDAY(A358,3))</f>
        <v/>
      </c>
      <c r="G358" s="21"/>
      <c r="H358" s="19" t="str">
        <f aca="false">IF(OR(B358="",NOT(ISNUMBER(E358))),"",SUMIFS($E$6:$E$505,$B$6:$B$505,B358,$F$6:$F$505,F358,$A$6:$A$505,"&lt;="&amp;A358))</f>
        <v/>
      </c>
      <c r="I358" s="19" t="str">
        <f aca="false">IF(H358="","",MAX(0,Setup!$B$5-H358))</f>
        <v/>
      </c>
    </row>
    <row r="359" customFormat="false" ht="15" hidden="false" customHeight="false" outlineLevel="0" collapsed="false">
      <c r="A359" s="16"/>
      <c r="B359" s="17"/>
      <c r="C359" s="18"/>
      <c r="D359" s="18"/>
      <c r="E359" s="19" t="str">
        <f aca="false">IF(OR(C359="",D359=""),"",IF(D359&lt;=C359,"Check times",ROUND((D359-C359)*24,2)))</f>
        <v/>
      </c>
      <c r="F359" s="20" t="str">
        <f aca="false">IF(A359="","",A359-WEEKDAY(A359,3))</f>
        <v/>
      </c>
      <c r="G359" s="21"/>
      <c r="H359" s="19" t="str">
        <f aca="false">IF(OR(B359="",NOT(ISNUMBER(E359))),"",SUMIFS($E$6:$E$505,$B$6:$B$505,B359,$F$6:$F$505,F359,$A$6:$A$505,"&lt;="&amp;A359))</f>
        <v/>
      </c>
      <c r="I359" s="19" t="str">
        <f aca="false">IF(H359="","",MAX(0,Setup!$B$5-H359))</f>
        <v/>
      </c>
    </row>
    <row r="360" customFormat="false" ht="15" hidden="false" customHeight="false" outlineLevel="0" collapsed="false">
      <c r="A360" s="16"/>
      <c r="B360" s="17"/>
      <c r="C360" s="18"/>
      <c r="D360" s="18"/>
      <c r="E360" s="19" t="str">
        <f aca="false">IF(OR(C360="",D360=""),"",IF(D360&lt;=C360,"Check times",ROUND((D360-C360)*24,2)))</f>
        <v/>
      </c>
      <c r="F360" s="20" t="str">
        <f aca="false">IF(A360="","",A360-WEEKDAY(A360,3))</f>
        <v/>
      </c>
      <c r="G360" s="21"/>
      <c r="H360" s="19" t="str">
        <f aca="false">IF(OR(B360="",NOT(ISNUMBER(E360))),"",SUMIFS($E$6:$E$505,$B$6:$B$505,B360,$F$6:$F$505,F360,$A$6:$A$505,"&lt;="&amp;A360))</f>
        <v/>
      </c>
      <c r="I360" s="19" t="str">
        <f aca="false">IF(H360="","",MAX(0,Setup!$B$5-H360))</f>
        <v/>
      </c>
    </row>
    <row r="361" customFormat="false" ht="15" hidden="false" customHeight="false" outlineLevel="0" collapsed="false">
      <c r="A361" s="16"/>
      <c r="B361" s="17"/>
      <c r="C361" s="18"/>
      <c r="D361" s="18"/>
      <c r="E361" s="19" t="str">
        <f aca="false">IF(OR(C361="",D361=""),"",IF(D361&lt;=C361,"Check times",ROUND((D361-C361)*24,2)))</f>
        <v/>
      </c>
      <c r="F361" s="20" t="str">
        <f aca="false">IF(A361="","",A361-WEEKDAY(A361,3))</f>
        <v/>
      </c>
      <c r="G361" s="21"/>
      <c r="H361" s="19" t="str">
        <f aca="false">IF(OR(B361="",NOT(ISNUMBER(E361))),"",SUMIFS($E$6:$E$505,$B$6:$B$505,B361,$F$6:$F$505,F361,$A$6:$A$505,"&lt;="&amp;A361))</f>
        <v/>
      </c>
      <c r="I361" s="19" t="str">
        <f aca="false">IF(H361="","",MAX(0,Setup!$B$5-H361))</f>
        <v/>
      </c>
    </row>
    <row r="362" customFormat="false" ht="15" hidden="false" customHeight="false" outlineLevel="0" collapsed="false">
      <c r="A362" s="16"/>
      <c r="B362" s="17"/>
      <c r="C362" s="18"/>
      <c r="D362" s="18"/>
      <c r="E362" s="19" t="str">
        <f aca="false">IF(OR(C362="",D362=""),"",IF(D362&lt;=C362,"Check times",ROUND((D362-C362)*24,2)))</f>
        <v/>
      </c>
      <c r="F362" s="20" t="str">
        <f aca="false">IF(A362="","",A362-WEEKDAY(A362,3))</f>
        <v/>
      </c>
      <c r="G362" s="21"/>
      <c r="H362" s="19" t="str">
        <f aca="false">IF(OR(B362="",NOT(ISNUMBER(E362))),"",SUMIFS($E$6:$E$505,$B$6:$B$505,B362,$F$6:$F$505,F362,$A$6:$A$505,"&lt;="&amp;A362))</f>
        <v/>
      </c>
      <c r="I362" s="19" t="str">
        <f aca="false">IF(H362="","",MAX(0,Setup!$B$5-H362))</f>
        <v/>
      </c>
    </row>
    <row r="363" customFormat="false" ht="15" hidden="false" customHeight="false" outlineLevel="0" collapsed="false">
      <c r="A363" s="16"/>
      <c r="B363" s="17"/>
      <c r="C363" s="18"/>
      <c r="D363" s="18"/>
      <c r="E363" s="19" t="str">
        <f aca="false">IF(OR(C363="",D363=""),"",IF(D363&lt;=C363,"Check times",ROUND((D363-C363)*24,2)))</f>
        <v/>
      </c>
      <c r="F363" s="20" t="str">
        <f aca="false">IF(A363="","",A363-WEEKDAY(A363,3))</f>
        <v/>
      </c>
      <c r="G363" s="21"/>
      <c r="H363" s="19" t="str">
        <f aca="false">IF(OR(B363="",NOT(ISNUMBER(E363))),"",SUMIFS($E$6:$E$505,$B$6:$B$505,B363,$F$6:$F$505,F363,$A$6:$A$505,"&lt;="&amp;A363))</f>
        <v/>
      </c>
      <c r="I363" s="19" t="str">
        <f aca="false">IF(H363="","",MAX(0,Setup!$B$5-H363))</f>
        <v/>
      </c>
    </row>
    <row r="364" customFormat="false" ht="15" hidden="false" customHeight="false" outlineLevel="0" collapsed="false">
      <c r="A364" s="16"/>
      <c r="B364" s="17"/>
      <c r="C364" s="18"/>
      <c r="D364" s="18"/>
      <c r="E364" s="19" t="str">
        <f aca="false">IF(OR(C364="",D364=""),"",IF(D364&lt;=C364,"Check times",ROUND((D364-C364)*24,2)))</f>
        <v/>
      </c>
      <c r="F364" s="20" t="str">
        <f aca="false">IF(A364="","",A364-WEEKDAY(A364,3))</f>
        <v/>
      </c>
      <c r="G364" s="21"/>
      <c r="H364" s="19" t="str">
        <f aca="false">IF(OR(B364="",NOT(ISNUMBER(E364))),"",SUMIFS($E$6:$E$505,$B$6:$B$505,B364,$F$6:$F$505,F364,$A$6:$A$505,"&lt;="&amp;A364))</f>
        <v/>
      </c>
      <c r="I364" s="19" t="str">
        <f aca="false">IF(H364="","",MAX(0,Setup!$B$5-H364))</f>
        <v/>
      </c>
    </row>
    <row r="365" customFormat="false" ht="15" hidden="false" customHeight="false" outlineLevel="0" collapsed="false">
      <c r="A365" s="16"/>
      <c r="B365" s="17"/>
      <c r="C365" s="18"/>
      <c r="D365" s="18"/>
      <c r="E365" s="19" t="str">
        <f aca="false">IF(OR(C365="",D365=""),"",IF(D365&lt;=C365,"Check times",ROUND((D365-C365)*24,2)))</f>
        <v/>
      </c>
      <c r="F365" s="20" t="str">
        <f aca="false">IF(A365="","",A365-WEEKDAY(A365,3))</f>
        <v/>
      </c>
      <c r="G365" s="21"/>
      <c r="H365" s="19" t="str">
        <f aca="false">IF(OR(B365="",NOT(ISNUMBER(E365))),"",SUMIFS($E$6:$E$505,$B$6:$B$505,B365,$F$6:$F$505,F365,$A$6:$A$505,"&lt;="&amp;A365))</f>
        <v/>
      </c>
      <c r="I365" s="19" t="str">
        <f aca="false">IF(H365="","",MAX(0,Setup!$B$5-H365))</f>
        <v/>
      </c>
    </row>
    <row r="366" customFormat="false" ht="15" hidden="false" customHeight="false" outlineLevel="0" collapsed="false">
      <c r="A366" s="16"/>
      <c r="B366" s="17"/>
      <c r="C366" s="18"/>
      <c r="D366" s="18"/>
      <c r="E366" s="19" t="str">
        <f aca="false">IF(OR(C366="",D366=""),"",IF(D366&lt;=C366,"Check times",ROUND((D366-C366)*24,2)))</f>
        <v/>
      </c>
      <c r="F366" s="20" t="str">
        <f aca="false">IF(A366="","",A366-WEEKDAY(A366,3))</f>
        <v/>
      </c>
      <c r="G366" s="21"/>
      <c r="H366" s="19" t="str">
        <f aca="false">IF(OR(B366="",NOT(ISNUMBER(E366))),"",SUMIFS($E$6:$E$505,$B$6:$B$505,B366,$F$6:$F$505,F366,$A$6:$A$505,"&lt;="&amp;A366))</f>
        <v/>
      </c>
      <c r="I366" s="19" t="str">
        <f aca="false">IF(H366="","",MAX(0,Setup!$B$5-H366))</f>
        <v/>
      </c>
    </row>
    <row r="367" customFormat="false" ht="15" hidden="false" customHeight="false" outlineLevel="0" collapsed="false">
      <c r="A367" s="16"/>
      <c r="B367" s="17"/>
      <c r="C367" s="18"/>
      <c r="D367" s="18"/>
      <c r="E367" s="19" t="str">
        <f aca="false">IF(OR(C367="",D367=""),"",IF(D367&lt;=C367,"Check times",ROUND((D367-C367)*24,2)))</f>
        <v/>
      </c>
      <c r="F367" s="20" t="str">
        <f aca="false">IF(A367="","",A367-WEEKDAY(A367,3))</f>
        <v/>
      </c>
      <c r="G367" s="21"/>
      <c r="H367" s="19" t="str">
        <f aca="false">IF(OR(B367="",NOT(ISNUMBER(E367))),"",SUMIFS($E$6:$E$505,$B$6:$B$505,B367,$F$6:$F$505,F367,$A$6:$A$505,"&lt;="&amp;A367))</f>
        <v/>
      </c>
      <c r="I367" s="19" t="str">
        <f aca="false">IF(H367="","",MAX(0,Setup!$B$5-H367))</f>
        <v/>
      </c>
    </row>
    <row r="368" customFormat="false" ht="15" hidden="false" customHeight="false" outlineLevel="0" collapsed="false">
      <c r="A368" s="16"/>
      <c r="B368" s="17"/>
      <c r="C368" s="18"/>
      <c r="D368" s="18"/>
      <c r="E368" s="19" t="str">
        <f aca="false">IF(OR(C368="",D368=""),"",IF(D368&lt;=C368,"Check times",ROUND((D368-C368)*24,2)))</f>
        <v/>
      </c>
      <c r="F368" s="20" t="str">
        <f aca="false">IF(A368="","",A368-WEEKDAY(A368,3))</f>
        <v/>
      </c>
      <c r="G368" s="21"/>
      <c r="H368" s="19" t="str">
        <f aca="false">IF(OR(B368="",NOT(ISNUMBER(E368))),"",SUMIFS($E$6:$E$505,$B$6:$B$505,B368,$F$6:$F$505,F368,$A$6:$A$505,"&lt;="&amp;A368))</f>
        <v/>
      </c>
      <c r="I368" s="19" t="str">
        <f aca="false">IF(H368="","",MAX(0,Setup!$B$5-H368))</f>
        <v/>
      </c>
    </row>
    <row r="369" customFormat="false" ht="15" hidden="false" customHeight="false" outlineLevel="0" collapsed="false">
      <c r="A369" s="16"/>
      <c r="B369" s="17"/>
      <c r="C369" s="18"/>
      <c r="D369" s="18"/>
      <c r="E369" s="19" t="str">
        <f aca="false">IF(OR(C369="",D369=""),"",IF(D369&lt;=C369,"Check times",ROUND((D369-C369)*24,2)))</f>
        <v/>
      </c>
      <c r="F369" s="20" t="str">
        <f aca="false">IF(A369="","",A369-WEEKDAY(A369,3))</f>
        <v/>
      </c>
      <c r="G369" s="21"/>
      <c r="H369" s="19" t="str">
        <f aca="false">IF(OR(B369="",NOT(ISNUMBER(E369))),"",SUMIFS($E$6:$E$505,$B$6:$B$505,B369,$F$6:$F$505,F369,$A$6:$A$505,"&lt;="&amp;A369))</f>
        <v/>
      </c>
      <c r="I369" s="19" t="str">
        <f aca="false">IF(H369="","",MAX(0,Setup!$B$5-H369))</f>
        <v/>
      </c>
    </row>
    <row r="370" customFormat="false" ht="15" hidden="false" customHeight="false" outlineLevel="0" collapsed="false">
      <c r="A370" s="16"/>
      <c r="B370" s="17"/>
      <c r="C370" s="18"/>
      <c r="D370" s="18"/>
      <c r="E370" s="19" t="str">
        <f aca="false">IF(OR(C370="",D370=""),"",IF(D370&lt;=C370,"Check times",ROUND((D370-C370)*24,2)))</f>
        <v/>
      </c>
      <c r="F370" s="20" t="str">
        <f aca="false">IF(A370="","",A370-WEEKDAY(A370,3))</f>
        <v/>
      </c>
      <c r="G370" s="21"/>
      <c r="H370" s="19" t="str">
        <f aca="false">IF(OR(B370="",NOT(ISNUMBER(E370))),"",SUMIFS($E$6:$E$505,$B$6:$B$505,B370,$F$6:$F$505,F370,$A$6:$A$505,"&lt;="&amp;A370))</f>
        <v/>
      </c>
      <c r="I370" s="19" t="str">
        <f aca="false">IF(H370="","",MAX(0,Setup!$B$5-H370))</f>
        <v/>
      </c>
    </row>
    <row r="371" customFormat="false" ht="15" hidden="false" customHeight="false" outlineLevel="0" collapsed="false">
      <c r="A371" s="16"/>
      <c r="B371" s="17"/>
      <c r="C371" s="18"/>
      <c r="D371" s="18"/>
      <c r="E371" s="19" t="str">
        <f aca="false">IF(OR(C371="",D371=""),"",IF(D371&lt;=C371,"Check times",ROUND((D371-C371)*24,2)))</f>
        <v/>
      </c>
      <c r="F371" s="20" t="str">
        <f aca="false">IF(A371="","",A371-WEEKDAY(A371,3))</f>
        <v/>
      </c>
      <c r="G371" s="21"/>
      <c r="H371" s="19" t="str">
        <f aca="false">IF(OR(B371="",NOT(ISNUMBER(E371))),"",SUMIFS($E$6:$E$505,$B$6:$B$505,B371,$F$6:$F$505,F371,$A$6:$A$505,"&lt;="&amp;A371))</f>
        <v/>
      </c>
      <c r="I371" s="19" t="str">
        <f aca="false">IF(H371="","",MAX(0,Setup!$B$5-H371))</f>
        <v/>
      </c>
    </row>
    <row r="372" customFormat="false" ht="15" hidden="false" customHeight="false" outlineLevel="0" collapsed="false">
      <c r="A372" s="16"/>
      <c r="B372" s="17"/>
      <c r="C372" s="18"/>
      <c r="D372" s="18"/>
      <c r="E372" s="19" t="str">
        <f aca="false">IF(OR(C372="",D372=""),"",IF(D372&lt;=C372,"Check times",ROUND((D372-C372)*24,2)))</f>
        <v/>
      </c>
      <c r="F372" s="20" t="str">
        <f aca="false">IF(A372="","",A372-WEEKDAY(A372,3))</f>
        <v/>
      </c>
      <c r="G372" s="21"/>
      <c r="H372" s="19" t="str">
        <f aca="false">IF(OR(B372="",NOT(ISNUMBER(E372))),"",SUMIFS($E$6:$E$505,$B$6:$B$505,B372,$F$6:$F$505,F372,$A$6:$A$505,"&lt;="&amp;A372))</f>
        <v/>
      </c>
      <c r="I372" s="19" t="str">
        <f aca="false">IF(H372="","",MAX(0,Setup!$B$5-H372))</f>
        <v/>
      </c>
    </row>
    <row r="373" customFormat="false" ht="15" hidden="false" customHeight="false" outlineLevel="0" collapsed="false">
      <c r="A373" s="16"/>
      <c r="B373" s="17"/>
      <c r="C373" s="18"/>
      <c r="D373" s="18"/>
      <c r="E373" s="19" t="str">
        <f aca="false">IF(OR(C373="",D373=""),"",IF(D373&lt;=C373,"Check times",ROUND((D373-C373)*24,2)))</f>
        <v/>
      </c>
      <c r="F373" s="20" t="str">
        <f aca="false">IF(A373="","",A373-WEEKDAY(A373,3))</f>
        <v/>
      </c>
      <c r="G373" s="21"/>
      <c r="H373" s="19" t="str">
        <f aca="false">IF(OR(B373="",NOT(ISNUMBER(E373))),"",SUMIFS($E$6:$E$505,$B$6:$B$505,B373,$F$6:$F$505,F373,$A$6:$A$505,"&lt;="&amp;A373))</f>
        <v/>
      </c>
      <c r="I373" s="19" t="str">
        <f aca="false">IF(H373="","",MAX(0,Setup!$B$5-H373))</f>
        <v/>
      </c>
    </row>
    <row r="374" customFormat="false" ht="15" hidden="false" customHeight="false" outlineLevel="0" collapsed="false">
      <c r="A374" s="16"/>
      <c r="B374" s="17"/>
      <c r="C374" s="18"/>
      <c r="D374" s="18"/>
      <c r="E374" s="19" t="str">
        <f aca="false">IF(OR(C374="",D374=""),"",IF(D374&lt;=C374,"Check times",ROUND((D374-C374)*24,2)))</f>
        <v/>
      </c>
      <c r="F374" s="20" t="str">
        <f aca="false">IF(A374="","",A374-WEEKDAY(A374,3))</f>
        <v/>
      </c>
      <c r="G374" s="21"/>
      <c r="H374" s="19" t="str">
        <f aca="false">IF(OR(B374="",NOT(ISNUMBER(E374))),"",SUMIFS($E$6:$E$505,$B$6:$B$505,B374,$F$6:$F$505,F374,$A$6:$A$505,"&lt;="&amp;A374))</f>
        <v/>
      </c>
      <c r="I374" s="19" t="str">
        <f aca="false">IF(H374="","",MAX(0,Setup!$B$5-H374))</f>
        <v/>
      </c>
    </row>
    <row r="375" customFormat="false" ht="15" hidden="false" customHeight="false" outlineLevel="0" collapsed="false">
      <c r="A375" s="16"/>
      <c r="B375" s="17"/>
      <c r="C375" s="18"/>
      <c r="D375" s="18"/>
      <c r="E375" s="19" t="str">
        <f aca="false">IF(OR(C375="",D375=""),"",IF(D375&lt;=C375,"Check times",ROUND((D375-C375)*24,2)))</f>
        <v/>
      </c>
      <c r="F375" s="20" t="str">
        <f aca="false">IF(A375="","",A375-WEEKDAY(A375,3))</f>
        <v/>
      </c>
      <c r="G375" s="21"/>
      <c r="H375" s="19" t="str">
        <f aca="false">IF(OR(B375="",NOT(ISNUMBER(E375))),"",SUMIFS($E$6:$E$505,$B$6:$B$505,B375,$F$6:$F$505,F375,$A$6:$A$505,"&lt;="&amp;A375))</f>
        <v/>
      </c>
      <c r="I375" s="19" t="str">
        <f aca="false">IF(H375="","",MAX(0,Setup!$B$5-H375))</f>
        <v/>
      </c>
    </row>
    <row r="376" customFormat="false" ht="15" hidden="false" customHeight="false" outlineLevel="0" collapsed="false">
      <c r="A376" s="16"/>
      <c r="B376" s="17"/>
      <c r="C376" s="18"/>
      <c r="D376" s="18"/>
      <c r="E376" s="19" t="str">
        <f aca="false">IF(OR(C376="",D376=""),"",IF(D376&lt;=C376,"Check times",ROUND((D376-C376)*24,2)))</f>
        <v/>
      </c>
      <c r="F376" s="20" t="str">
        <f aca="false">IF(A376="","",A376-WEEKDAY(A376,3))</f>
        <v/>
      </c>
      <c r="G376" s="21"/>
      <c r="H376" s="19" t="str">
        <f aca="false">IF(OR(B376="",NOT(ISNUMBER(E376))),"",SUMIFS($E$6:$E$505,$B$6:$B$505,B376,$F$6:$F$505,F376,$A$6:$A$505,"&lt;="&amp;A376))</f>
        <v/>
      </c>
      <c r="I376" s="19" t="str">
        <f aca="false">IF(H376="","",MAX(0,Setup!$B$5-H376))</f>
        <v/>
      </c>
    </row>
    <row r="377" customFormat="false" ht="15" hidden="false" customHeight="false" outlineLevel="0" collapsed="false">
      <c r="A377" s="16"/>
      <c r="B377" s="17"/>
      <c r="C377" s="18"/>
      <c r="D377" s="18"/>
      <c r="E377" s="19" t="str">
        <f aca="false">IF(OR(C377="",D377=""),"",IF(D377&lt;=C377,"Check times",ROUND((D377-C377)*24,2)))</f>
        <v/>
      </c>
      <c r="F377" s="20" t="str">
        <f aca="false">IF(A377="","",A377-WEEKDAY(A377,3))</f>
        <v/>
      </c>
      <c r="G377" s="21"/>
      <c r="H377" s="19" t="str">
        <f aca="false">IF(OR(B377="",NOT(ISNUMBER(E377))),"",SUMIFS($E$6:$E$505,$B$6:$B$505,B377,$F$6:$F$505,F377,$A$6:$A$505,"&lt;="&amp;A377))</f>
        <v/>
      </c>
      <c r="I377" s="19" t="str">
        <f aca="false">IF(H377="","",MAX(0,Setup!$B$5-H377))</f>
        <v/>
      </c>
    </row>
    <row r="378" customFormat="false" ht="15" hidden="false" customHeight="false" outlineLevel="0" collapsed="false">
      <c r="A378" s="16"/>
      <c r="B378" s="17"/>
      <c r="C378" s="18"/>
      <c r="D378" s="18"/>
      <c r="E378" s="19" t="str">
        <f aca="false">IF(OR(C378="",D378=""),"",IF(D378&lt;=C378,"Check times",ROUND((D378-C378)*24,2)))</f>
        <v/>
      </c>
      <c r="F378" s="20" t="str">
        <f aca="false">IF(A378="","",A378-WEEKDAY(A378,3))</f>
        <v/>
      </c>
      <c r="G378" s="21"/>
      <c r="H378" s="19" t="str">
        <f aca="false">IF(OR(B378="",NOT(ISNUMBER(E378))),"",SUMIFS($E$6:$E$505,$B$6:$B$505,B378,$F$6:$F$505,F378,$A$6:$A$505,"&lt;="&amp;A378))</f>
        <v/>
      </c>
      <c r="I378" s="19" t="str">
        <f aca="false">IF(H378="","",MAX(0,Setup!$B$5-H378))</f>
        <v/>
      </c>
    </row>
    <row r="379" customFormat="false" ht="15" hidden="false" customHeight="false" outlineLevel="0" collapsed="false">
      <c r="A379" s="16"/>
      <c r="B379" s="17"/>
      <c r="C379" s="18"/>
      <c r="D379" s="18"/>
      <c r="E379" s="19" t="str">
        <f aca="false">IF(OR(C379="",D379=""),"",IF(D379&lt;=C379,"Check times",ROUND((D379-C379)*24,2)))</f>
        <v/>
      </c>
      <c r="F379" s="20" t="str">
        <f aca="false">IF(A379="","",A379-WEEKDAY(A379,3))</f>
        <v/>
      </c>
      <c r="G379" s="21"/>
      <c r="H379" s="19" t="str">
        <f aca="false">IF(OR(B379="",NOT(ISNUMBER(E379))),"",SUMIFS($E$6:$E$505,$B$6:$B$505,B379,$F$6:$F$505,F379,$A$6:$A$505,"&lt;="&amp;A379))</f>
        <v/>
      </c>
      <c r="I379" s="19" t="str">
        <f aca="false">IF(H379="","",MAX(0,Setup!$B$5-H379))</f>
        <v/>
      </c>
    </row>
    <row r="380" customFormat="false" ht="15" hidden="false" customHeight="false" outlineLevel="0" collapsed="false">
      <c r="A380" s="16"/>
      <c r="B380" s="17"/>
      <c r="C380" s="18"/>
      <c r="D380" s="18"/>
      <c r="E380" s="19" t="str">
        <f aca="false">IF(OR(C380="",D380=""),"",IF(D380&lt;=C380,"Check times",ROUND((D380-C380)*24,2)))</f>
        <v/>
      </c>
      <c r="F380" s="20" t="str">
        <f aca="false">IF(A380="","",A380-WEEKDAY(A380,3))</f>
        <v/>
      </c>
      <c r="G380" s="21"/>
      <c r="H380" s="19" t="str">
        <f aca="false">IF(OR(B380="",NOT(ISNUMBER(E380))),"",SUMIFS($E$6:$E$505,$B$6:$B$505,B380,$F$6:$F$505,F380,$A$6:$A$505,"&lt;="&amp;A380))</f>
        <v/>
      </c>
      <c r="I380" s="19" t="str">
        <f aca="false">IF(H380="","",MAX(0,Setup!$B$5-H380))</f>
        <v/>
      </c>
    </row>
    <row r="381" customFormat="false" ht="15" hidden="false" customHeight="false" outlineLevel="0" collapsed="false">
      <c r="A381" s="16"/>
      <c r="B381" s="17"/>
      <c r="C381" s="18"/>
      <c r="D381" s="18"/>
      <c r="E381" s="19" t="str">
        <f aca="false">IF(OR(C381="",D381=""),"",IF(D381&lt;=C381,"Check times",ROUND((D381-C381)*24,2)))</f>
        <v/>
      </c>
      <c r="F381" s="20" t="str">
        <f aca="false">IF(A381="","",A381-WEEKDAY(A381,3))</f>
        <v/>
      </c>
      <c r="G381" s="21"/>
      <c r="H381" s="19" t="str">
        <f aca="false">IF(OR(B381="",NOT(ISNUMBER(E381))),"",SUMIFS($E$6:$E$505,$B$6:$B$505,B381,$F$6:$F$505,F381,$A$6:$A$505,"&lt;="&amp;A381))</f>
        <v/>
      </c>
      <c r="I381" s="19" t="str">
        <f aca="false">IF(H381="","",MAX(0,Setup!$B$5-H381))</f>
        <v/>
      </c>
    </row>
    <row r="382" customFormat="false" ht="15" hidden="false" customHeight="false" outlineLevel="0" collapsed="false">
      <c r="A382" s="16"/>
      <c r="B382" s="17"/>
      <c r="C382" s="18"/>
      <c r="D382" s="18"/>
      <c r="E382" s="19" t="str">
        <f aca="false">IF(OR(C382="",D382=""),"",IF(D382&lt;=C382,"Check times",ROUND((D382-C382)*24,2)))</f>
        <v/>
      </c>
      <c r="F382" s="20" t="str">
        <f aca="false">IF(A382="","",A382-WEEKDAY(A382,3))</f>
        <v/>
      </c>
      <c r="G382" s="21"/>
      <c r="H382" s="19" t="str">
        <f aca="false">IF(OR(B382="",NOT(ISNUMBER(E382))),"",SUMIFS($E$6:$E$505,$B$6:$B$505,B382,$F$6:$F$505,F382,$A$6:$A$505,"&lt;="&amp;A382))</f>
        <v/>
      </c>
      <c r="I382" s="19" t="str">
        <f aca="false">IF(H382="","",MAX(0,Setup!$B$5-H382))</f>
        <v/>
      </c>
    </row>
    <row r="383" customFormat="false" ht="15" hidden="false" customHeight="false" outlineLevel="0" collapsed="false">
      <c r="A383" s="16"/>
      <c r="B383" s="17"/>
      <c r="C383" s="18"/>
      <c r="D383" s="18"/>
      <c r="E383" s="19" t="str">
        <f aca="false">IF(OR(C383="",D383=""),"",IF(D383&lt;=C383,"Check times",ROUND((D383-C383)*24,2)))</f>
        <v/>
      </c>
      <c r="F383" s="20" t="str">
        <f aca="false">IF(A383="","",A383-WEEKDAY(A383,3))</f>
        <v/>
      </c>
      <c r="G383" s="21"/>
      <c r="H383" s="19" t="str">
        <f aca="false">IF(OR(B383="",NOT(ISNUMBER(E383))),"",SUMIFS($E$6:$E$505,$B$6:$B$505,B383,$F$6:$F$505,F383,$A$6:$A$505,"&lt;="&amp;A383))</f>
        <v/>
      </c>
      <c r="I383" s="19" t="str">
        <f aca="false">IF(H383="","",MAX(0,Setup!$B$5-H383))</f>
        <v/>
      </c>
    </row>
    <row r="384" customFormat="false" ht="15" hidden="false" customHeight="false" outlineLevel="0" collapsed="false">
      <c r="A384" s="16"/>
      <c r="B384" s="17"/>
      <c r="C384" s="18"/>
      <c r="D384" s="18"/>
      <c r="E384" s="19" t="str">
        <f aca="false">IF(OR(C384="",D384=""),"",IF(D384&lt;=C384,"Check times",ROUND((D384-C384)*24,2)))</f>
        <v/>
      </c>
      <c r="F384" s="20" t="str">
        <f aca="false">IF(A384="","",A384-WEEKDAY(A384,3))</f>
        <v/>
      </c>
      <c r="G384" s="21"/>
      <c r="H384" s="19" t="str">
        <f aca="false">IF(OR(B384="",NOT(ISNUMBER(E384))),"",SUMIFS($E$6:$E$505,$B$6:$B$505,B384,$F$6:$F$505,F384,$A$6:$A$505,"&lt;="&amp;A384))</f>
        <v/>
      </c>
      <c r="I384" s="19" t="str">
        <f aca="false">IF(H384="","",MAX(0,Setup!$B$5-H384))</f>
        <v/>
      </c>
    </row>
    <row r="385" customFormat="false" ht="15" hidden="false" customHeight="false" outlineLevel="0" collapsed="false">
      <c r="A385" s="16"/>
      <c r="B385" s="17"/>
      <c r="C385" s="18"/>
      <c r="D385" s="18"/>
      <c r="E385" s="19" t="str">
        <f aca="false">IF(OR(C385="",D385=""),"",IF(D385&lt;=C385,"Check times",ROUND((D385-C385)*24,2)))</f>
        <v/>
      </c>
      <c r="F385" s="20" t="str">
        <f aca="false">IF(A385="","",A385-WEEKDAY(A385,3))</f>
        <v/>
      </c>
      <c r="G385" s="21"/>
      <c r="H385" s="19" t="str">
        <f aca="false">IF(OR(B385="",NOT(ISNUMBER(E385))),"",SUMIFS($E$6:$E$505,$B$6:$B$505,B385,$F$6:$F$505,F385,$A$6:$A$505,"&lt;="&amp;A385))</f>
        <v/>
      </c>
      <c r="I385" s="19" t="str">
        <f aca="false">IF(H385="","",MAX(0,Setup!$B$5-H385))</f>
        <v/>
      </c>
    </row>
    <row r="386" customFormat="false" ht="15" hidden="false" customHeight="false" outlineLevel="0" collapsed="false">
      <c r="A386" s="16"/>
      <c r="B386" s="17"/>
      <c r="C386" s="18"/>
      <c r="D386" s="18"/>
      <c r="E386" s="19" t="str">
        <f aca="false">IF(OR(C386="",D386=""),"",IF(D386&lt;=C386,"Check times",ROUND((D386-C386)*24,2)))</f>
        <v/>
      </c>
      <c r="F386" s="20" t="str">
        <f aca="false">IF(A386="","",A386-WEEKDAY(A386,3))</f>
        <v/>
      </c>
      <c r="G386" s="21"/>
      <c r="H386" s="19" t="str">
        <f aca="false">IF(OR(B386="",NOT(ISNUMBER(E386))),"",SUMIFS($E$6:$E$505,$B$6:$B$505,B386,$F$6:$F$505,F386,$A$6:$A$505,"&lt;="&amp;A386))</f>
        <v/>
      </c>
      <c r="I386" s="19" t="str">
        <f aca="false">IF(H386="","",MAX(0,Setup!$B$5-H386))</f>
        <v/>
      </c>
    </row>
    <row r="387" customFormat="false" ht="15" hidden="false" customHeight="false" outlineLevel="0" collapsed="false">
      <c r="A387" s="16"/>
      <c r="B387" s="17"/>
      <c r="C387" s="18"/>
      <c r="D387" s="18"/>
      <c r="E387" s="19" t="str">
        <f aca="false">IF(OR(C387="",D387=""),"",IF(D387&lt;=C387,"Check times",ROUND((D387-C387)*24,2)))</f>
        <v/>
      </c>
      <c r="F387" s="20" t="str">
        <f aca="false">IF(A387="","",A387-WEEKDAY(A387,3))</f>
        <v/>
      </c>
      <c r="G387" s="21"/>
      <c r="H387" s="19" t="str">
        <f aca="false">IF(OR(B387="",NOT(ISNUMBER(E387))),"",SUMIFS($E$6:$E$505,$B$6:$B$505,B387,$F$6:$F$505,F387,$A$6:$A$505,"&lt;="&amp;A387))</f>
        <v/>
      </c>
      <c r="I387" s="19" t="str">
        <f aca="false">IF(H387="","",MAX(0,Setup!$B$5-H387))</f>
        <v/>
      </c>
    </row>
    <row r="388" customFormat="false" ht="15" hidden="false" customHeight="false" outlineLevel="0" collapsed="false">
      <c r="A388" s="16"/>
      <c r="B388" s="17"/>
      <c r="C388" s="18"/>
      <c r="D388" s="18"/>
      <c r="E388" s="19" t="str">
        <f aca="false">IF(OR(C388="",D388=""),"",IF(D388&lt;=C388,"Check times",ROUND((D388-C388)*24,2)))</f>
        <v/>
      </c>
      <c r="F388" s="20" t="str">
        <f aca="false">IF(A388="","",A388-WEEKDAY(A388,3))</f>
        <v/>
      </c>
      <c r="G388" s="21"/>
      <c r="H388" s="19" t="str">
        <f aca="false">IF(OR(B388="",NOT(ISNUMBER(E388))),"",SUMIFS($E$6:$E$505,$B$6:$B$505,B388,$F$6:$F$505,F388,$A$6:$A$505,"&lt;="&amp;A388))</f>
        <v/>
      </c>
      <c r="I388" s="19" t="str">
        <f aca="false">IF(H388="","",MAX(0,Setup!$B$5-H388))</f>
        <v/>
      </c>
    </row>
    <row r="389" customFormat="false" ht="15" hidden="false" customHeight="false" outlineLevel="0" collapsed="false">
      <c r="A389" s="16"/>
      <c r="B389" s="17"/>
      <c r="C389" s="18"/>
      <c r="D389" s="18"/>
      <c r="E389" s="19" t="str">
        <f aca="false">IF(OR(C389="",D389=""),"",IF(D389&lt;=C389,"Check times",ROUND((D389-C389)*24,2)))</f>
        <v/>
      </c>
      <c r="F389" s="20" t="str">
        <f aca="false">IF(A389="","",A389-WEEKDAY(A389,3))</f>
        <v/>
      </c>
      <c r="G389" s="21"/>
      <c r="H389" s="19" t="str">
        <f aca="false">IF(OR(B389="",NOT(ISNUMBER(E389))),"",SUMIFS($E$6:$E$505,$B$6:$B$505,B389,$F$6:$F$505,F389,$A$6:$A$505,"&lt;="&amp;A389))</f>
        <v/>
      </c>
      <c r="I389" s="19" t="str">
        <f aca="false">IF(H389="","",MAX(0,Setup!$B$5-H389))</f>
        <v/>
      </c>
    </row>
    <row r="390" customFormat="false" ht="15" hidden="false" customHeight="false" outlineLevel="0" collapsed="false">
      <c r="A390" s="16"/>
      <c r="B390" s="17"/>
      <c r="C390" s="18"/>
      <c r="D390" s="18"/>
      <c r="E390" s="19" t="str">
        <f aca="false">IF(OR(C390="",D390=""),"",IF(D390&lt;=C390,"Check times",ROUND((D390-C390)*24,2)))</f>
        <v/>
      </c>
      <c r="F390" s="20" t="str">
        <f aca="false">IF(A390="","",A390-WEEKDAY(A390,3))</f>
        <v/>
      </c>
      <c r="G390" s="21"/>
      <c r="H390" s="19" t="str">
        <f aca="false">IF(OR(B390="",NOT(ISNUMBER(E390))),"",SUMIFS($E$6:$E$505,$B$6:$B$505,B390,$F$6:$F$505,F390,$A$6:$A$505,"&lt;="&amp;A390))</f>
        <v/>
      </c>
      <c r="I390" s="19" t="str">
        <f aca="false">IF(H390="","",MAX(0,Setup!$B$5-H390))</f>
        <v/>
      </c>
    </row>
    <row r="391" customFormat="false" ht="15" hidden="false" customHeight="false" outlineLevel="0" collapsed="false">
      <c r="A391" s="16"/>
      <c r="B391" s="17"/>
      <c r="C391" s="18"/>
      <c r="D391" s="18"/>
      <c r="E391" s="19" t="str">
        <f aca="false">IF(OR(C391="",D391=""),"",IF(D391&lt;=C391,"Check times",ROUND((D391-C391)*24,2)))</f>
        <v/>
      </c>
      <c r="F391" s="20" t="str">
        <f aca="false">IF(A391="","",A391-WEEKDAY(A391,3))</f>
        <v/>
      </c>
      <c r="G391" s="21"/>
      <c r="H391" s="19" t="str">
        <f aca="false">IF(OR(B391="",NOT(ISNUMBER(E391))),"",SUMIFS($E$6:$E$505,$B$6:$B$505,B391,$F$6:$F$505,F391,$A$6:$A$505,"&lt;="&amp;A391))</f>
        <v/>
      </c>
      <c r="I391" s="19" t="str">
        <f aca="false">IF(H391="","",MAX(0,Setup!$B$5-H391))</f>
        <v/>
      </c>
    </row>
    <row r="392" customFormat="false" ht="15" hidden="false" customHeight="false" outlineLevel="0" collapsed="false">
      <c r="A392" s="16"/>
      <c r="B392" s="17"/>
      <c r="C392" s="18"/>
      <c r="D392" s="18"/>
      <c r="E392" s="19" t="str">
        <f aca="false">IF(OR(C392="",D392=""),"",IF(D392&lt;=C392,"Check times",ROUND((D392-C392)*24,2)))</f>
        <v/>
      </c>
      <c r="F392" s="20" t="str">
        <f aca="false">IF(A392="","",A392-WEEKDAY(A392,3))</f>
        <v/>
      </c>
      <c r="G392" s="21"/>
      <c r="H392" s="19" t="str">
        <f aca="false">IF(OR(B392="",NOT(ISNUMBER(E392))),"",SUMIFS($E$6:$E$505,$B$6:$B$505,B392,$F$6:$F$505,F392,$A$6:$A$505,"&lt;="&amp;A392))</f>
        <v/>
      </c>
      <c r="I392" s="19" t="str">
        <f aca="false">IF(H392="","",MAX(0,Setup!$B$5-H392))</f>
        <v/>
      </c>
    </row>
    <row r="393" customFormat="false" ht="15" hidden="false" customHeight="false" outlineLevel="0" collapsed="false">
      <c r="A393" s="16"/>
      <c r="B393" s="17"/>
      <c r="C393" s="18"/>
      <c r="D393" s="18"/>
      <c r="E393" s="19" t="str">
        <f aca="false">IF(OR(C393="",D393=""),"",IF(D393&lt;=C393,"Check times",ROUND((D393-C393)*24,2)))</f>
        <v/>
      </c>
      <c r="F393" s="20" t="str">
        <f aca="false">IF(A393="","",A393-WEEKDAY(A393,3))</f>
        <v/>
      </c>
      <c r="G393" s="21"/>
      <c r="H393" s="19" t="str">
        <f aca="false">IF(OR(B393="",NOT(ISNUMBER(E393))),"",SUMIFS($E$6:$E$505,$B$6:$B$505,B393,$F$6:$F$505,F393,$A$6:$A$505,"&lt;="&amp;A393))</f>
        <v/>
      </c>
      <c r="I393" s="19" t="str">
        <f aca="false">IF(H393="","",MAX(0,Setup!$B$5-H393))</f>
        <v/>
      </c>
    </row>
    <row r="394" customFormat="false" ht="15" hidden="false" customHeight="false" outlineLevel="0" collapsed="false">
      <c r="A394" s="16"/>
      <c r="B394" s="17"/>
      <c r="C394" s="18"/>
      <c r="D394" s="18"/>
      <c r="E394" s="19" t="str">
        <f aca="false">IF(OR(C394="",D394=""),"",IF(D394&lt;=C394,"Check times",ROUND((D394-C394)*24,2)))</f>
        <v/>
      </c>
      <c r="F394" s="20" t="str">
        <f aca="false">IF(A394="","",A394-WEEKDAY(A394,3))</f>
        <v/>
      </c>
      <c r="G394" s="21"/>
      <c r="H394" s="19" t="str">
        <f aca="false">IF(OR(B394="",NOT(ISNUMBER(E394))),"",SUMIFS($E$6:$E$505,$B$6:$B$505,B394,$F$6:$F$505,F394,$A$6:$A$505,"&lt;="&amp;A394))</f>
        <v/>
      </c>
      <c r="I394" s="19" t="str">
        <f aca="false">IF(H394="","",MAX(0,Setup!$B$5-H394))</f>
        <v/>
      </c>
    </row>
    <row r="395" customFormat="false" ht="15" hidden="false" customHeight="false" outlineLevel="0" collapsed="false">
      <c r="A395" s="16"/>
      <c r="B395" s="17"/>
      <c r="C395" s="18"/>
      <c r="D395" s="18"/>
      <c r="E395" s="19" t="str">
        <f aca="false">IF(OR(C395="",D395=""),"",IF(D395&lt;=C395,"Check times",ROUND((D395-C395)*24,2)))</f>
        <v/>
      </c>
      <c r="F395" s="20" t="str">
        <f aca="false">IF(A395="","",A395-WEEKDAY(A395,3))</f>
        <v/>
      </c>
      <c r="G395" s="21"/>
      <c r="H395" s="19" t="str">
        <f aca="false">IF(OR(B395="",NOT(ISNUMBER(E395))),"",SUMIFS($E$6:$E$505,$B$6:$B$505,B395,$F$6:$F$505,F395,$A$6:$A$505,"&lt;="&amp;A395))</f>
        <v/>
      </c>
      <c r="I395" s="19" t="str">
        <f aca="false">IF(H395="","",MAX(0,Setup!$B$5-H395))</f>
        <v/>
      </c>
    </row>
    <row r="396" customFormat="false" ht="15" hidden="false" customHeight="false" outlineLevel="0" collapsed="false">
      <c r="A396" s="16"/>
      <c r="B396" s="17"/>
      <c r="C396" s="18"/>
      <c r="D396" s="18"/>
      <c r="E396" s="19" t="str">
        <f aca="false">IF(OR(C396="",D396=""),"",IF(D396&lt;=C396,"Check times",ROUND((D396-C396)*24,2)))</f>
        <v/>
      </c>
      <c r="F396" s="20" t="str">
        <f aca="false">IF(A396="","",A396-WEEKDAY(A396,3))</f>
        <v/>
      </c>
      <c r="G396" s="21"/>
      <c r="H396" s="19" t="str">
        <f aca="false">IF(OR(B396="",NOT(ISNUMBER(E396))),"",SUMIFS($E$6:$E$505,$B$6:$B$505,B396,$F$6:$F$505,F396,$A$6:$A$505,"&lt;="&amp;A396))</f>
        <v/>
      </c>
      <c r="I396" s="19" t="str">
        <f aca="false">IF(H396="","",MAX(0,Setup!$B$5-H396))</f>
        <v/>
      </c>
    </row>
    <row r="397" customFormat="false" ht="15" hidden="false" customHeight="false" outlineLevel="0" collapsed="false">
      <c r="A397" s="16"/>
      <c r="B397" s="17"/>
      <c r="C397" s="18"/>
      <c r="D397" s="18"/>
      <c r="E397" s="19" t="str">
        <f aca="false">IF(OR(C397="",D397=""),"",IF(D397&lt;=C397,"Check times",ROUND((D397-C397)*24,2)))</f>
        <v/>
      </c>
      <c r="F397" s="20" t="str">
        <f aca="false">IF(A397="","",A397-WEEKDAY(A397,3))</f>
        <v/>
      </c>
      <c r="G397" s="21"/>
      <c r="H397" s="19" t="str">
        <f aca="false">IF(OR(B397="",NOT(ISNUMBER(E397))),"",SUMIFS($E$6:$E$505,$B$6:$B$505,B397,$F$6:$F$505,F397,$A$6:$A$505,"&lt;="&amp;A397))</f>
        <v/>
      </c>
      <c r="I397" s="19" t="str">
        <f aca="false">IF(H397="","",MAX(0,Setup!$B$5-H397))</f>
        <v/>
      </c>
    </row>
    <row r="398" customFormat="false" ht="15" hidden="false" customHeight="false" outlineLevel="0" collapsed="false">
      <c r="A398" s="16"/>
      <c r="B398" s="17"/>
      <c r="C398" s="18"/>
      <c r="D398" s="18"/>
      <c r="E398" s="19" t="str">
        <f aca="false">IF(OR(C398="",D398=""),"",IF(D398&lt;=C398,"Check times",ROUND((D398-C398)*24,2)))</f>
        <v/>
      </c>
      <c r="F398" s="20" t="str">
        <f aca="false">IF(A398="","",A398-WEEKDAY(A398,3))</f>
        <v/>
      </c>
      <c r="G398" s="21"/>
      <c r="H398" s="19" t="str">
        <f aca="false">IF(OR(B398="",NOT(ISNUMBER(E398))),"",SUMIFS($E$6:$E$505,$B$6:$B$505,B398,$F$6:$F$505,F398,$A$6:$A$505,"&lt;="&amp;A398))</f>
        <v/>
      </c>
      <c r="I398" s="19" t="str">
        <f aca="false">IF(H398="","",MAX(0,Setup!$B$5-H398))</f>
        <v/>
      </c>
    </row>
    <row r="399" customFormat="false" ht="15" hidden="false" customHeight="false" outlineLevel="0" collapsed="false">
      <c r="A399" s="16"/>
      <c r="B399" s="17"/>
      <c r="C399" s="18"/>
      <c r="D399" s="18"/>
      <c r="E399" s="19" t="str">
        <f aca="false">IF(OR(C399="",D399=""),"",IF(D399&lt;=C399,"Check times",ROUND((D399-C399)*24,2)))</f>
        <v/>
      </c>
      <c r="F399" s="20" t="str">
        <f aca="false">IF(A399="","",A399-WEEKDAY(A399,3))</f>
        <v/>
      </c>
      <c r="G399" s="21"/>
      <c r="H399" s="19" t="str">
        <f aca="false">IF(OR(B399="",NOT(ISNUMBER(E399))),"",SUMIFS($E$6:$E$505,$B$6:$B$505,B399,$F$6:$F$505,F399,$A$6:$A$505,"&lt;="&amp;A399))</f>
        <v/>
      </c>
      <c r="I399" s="19" t="str">
        <f aca="false">IF(H399="","",MAX(0,Setup!$B$5-H399))</f>
        <v/>
      </c>
    </row>
    <row r="400" customFormat="false" ht="15" hidden="false" customHeight="false" outlineLevel="0" collapsed="false">
      <c r="A400" s="16"/>
      <c r="B400" s="17"/>
      <c r="C400" s="18"/>
      <c r="D400" s="18"/>
      <c r="E400" s="19" t="str">
        <f aca="false">IF(OR(C400="",D400=""),"",IF(D400&lt;=C400,"Check times",ROUND((D400-C400)*24,2)))</f>
        <v/>
      </c>
      <c r="F400" s="20" t="str">
        <f aca="false">IF(A400="","",A400-WEEKDAY(A400,3))</f>
        <v/>
      </c>
      <c r="G400" s="21"/>
      <c r="H400" s="19" t="str">
        <f aca="false">IF(OR(B400="",NOT(ISNUMBER(E400))),"",SUMIFS($E$6:$E$505,$B$6:$B$505,B400,$F$6:$F$505,F400,$A$6:$A$505,"&lt;="&amp;A400))</f>
        <v/>
      </c>
      <c r="I400" s="19" t="str">
        <f aca="false">IF(H400="","",MAX(0,Setup!$B$5-H400))</f>
        <v/>
      </c>
    </row>
    <row r="401" customFormat="false" ht="15" hidden="false" customHeight="false" outlineLevel="0" collapsed="false">
      <c r="A401" s="16"/>
      <c r="B401" s="17"/>
      <c r="C401" s="18"/>
      <c r="D401" s="18"/>
      <c r="E401" s="19" t="str">
        <f aca="false">IF(OR(C401="",D401=""),"",IF(D401&lt;=C401,"Check times",ROUND((D401-C401)*24,2)))</f>
        <v/>
      </c>
      <c r="F401" s="20" t="str">
        <f aca="false">IF(A401="","",A401-WEEKDAY(A401,3))</f>
        <v/>
      </c>
      <c r="G401" s="21"/>
      <c r="H401" s="19" t="str">
        <f aca="false">IF(OR(B401="",NOT(ISNUMBER(E401))),"",SUMIFS($E$6:$E$505,$B$6:$B$505,B401,$F$6:$F$505,F401,$A$6:$A$505,"&lt;="&amp;A401))</f>
        <v/>
      </c>
      <c r="I401" s="19" t="str">
        <f aca="false">IF(H401="","",MAX(0,Setup!$B$5-H401))</f>
        <v/>
      </c>
    </row>
    <row r="402" customFormat="false" ht="15" hidden="false" customHeight="false" outlineLevel="0" collapsed="false">
      <c r="A402" s="16"/>
      <c r="B402" s="17"/>
      <c r="C402" s="18"/>
      <c r="D402" s="18"/>
      <c r="E402" s="19" t="str">
        <f aca="false">IF(OR(C402="",D402=""),"",IF(D402&lt;=C402,"Check times",ROUND((D402-C402)*24,2)))</f>
        <v/>
      </c>
      <c r="F402" s="20" t="str">
        <f aca="false">IF(A402="","",A402-WEEKDAY(A402,3))</f>
        <v/>
      </c>
      <c r="G402" s="21"/>
      <c r="H402" s="19" t="str">
        <f aca="false">IF(OR(B402="",NOT(ISNUMBER(E402))),"",SUMIFS($E$6:$E$505,$B$6:$B$505,B402,$F$6:$F$505,F402,$A$6:$A$505,"&lt;="&amp;A402))</f>
        <v/>
      </c>
      <c r="I402" s="19" t="str">
        <f aca="false">IF(H402="","",MAX(0,Setup!$B$5-H402))</f>
        <v/>
      </c>
    </row>
    <row r="403" customFormat="false" ht="15" hidden="false" customHeight="false" outlineLevel="0" collapsed="false">
      <c r="A403" s="16"/>
      <c r="B403" s="17"/>
      <c r="C403" s="18"/>
      <c r="D403" s="18"/>
      <c r="E403" s="19" t="str">
        <f aca="false">IF(OR(C403="",D403=""),"",IF(D403&lt;=C403,"Check times",ROUND((D403-C403)*24,2)))</f>
        <v/>
      </c>
      <c r="F403" s="20" t="str">
        <f aca="false">IF(A403="","",A403-WEEKDAY(A403,3))</f>
        <v/>
      </c>
      <c r="G403" s="21"/>
      <c r="H403" s="19" t="str">
        <f aca="false">IF(OR(B403="",NOT(ISNUMBER(E403))),"",SUMIFS($E$6:$E$505,$B$6:$B$505,B403,$F$6:$F$505,F403,$A$6:$A$505,"&lt;="&amp;A403))</f>
        <v/>
      </c>
      <c r="I403" s="19" t="str">
        <f aca="false">IF(H403="","",MAX(0,Setup!$B$5-H403))</f>
        <v/>
      </c>
    </row>
    <row r="404" customFormat="false" ht="15" hidden="false" customHeight="false" outlineLevel="0" collapsed="false">
      <c r="A404" s="16"/>
      <c r="B404" s="17"/>
      <c r="C404" s="18"/>
      <c r="D404" s="18"/>
      <c r="E404" s="19" t="str">
        <f aca="false">IF(OR(C404="",D404=""),"",IF(D404&lt;=C404,"Check times",ROUND((D404-C404)*24,2)))</f>
        <v/>
      </c>
      <c r="F404" s="20" t="str">
        <f aca="false">IF(A404="","",A404-WEEKDAY(A404,3))</f>
        <v/>
      </c>
      <c r="G404" s="21"/>
      <c r="H404" s="19" t="str">
        <f aca="false">IF(OR(B404="",NOT(ISNUMBER(E404))),"",SUMIFS($E$6:$E$505,$B$6:$B$505,B404,$F$6:$F$505,F404,$A$6:$A$505,"&lt;="&amp;A404))</f>
        <v/>
      </c>
      <c r="I404" s="19" t="str">
        <f aca="false">IF(H404="","",MAX(0,Setup!$B$5-H404))</f>
        <v/>
      </c>
    </row>
    <row r="405" customFormat="false" ht="15" hidden="false" customHeight="false" outlineLevel="0" collapsed="false">
      <c r="A405" s="16"/>
      <c r="B405" s="17"/>
      <c r="C405" s="18"/>
      <c r="D405" s="18"/>
      <c r="E405" s="19" t="str">
        <f aca="false">IF(OR(C405="",D405=""),"",IF(D405&lt;=C405,"Check times",ROUND((D405-C405)*24,2)))</f>
        <v/>
      </c>
      <c r="F405" s="20" t="str">
        <f aca="false">IF(A405="","",A405-WEEKDAY(A405,3))</f>
        <v/>
      </c>
      <c r="G405" s="21"/>
      <c r="H405" s="19" t="str">
        <f aca="false">IF(OR(B405="",NOT(ISNUMBER(E405))),"",SUMIFS($E$6:$E$505,$B$6:$B$505,B405,$F$6:$F$505,F405,$A$6:$A$505,"&lt;="&amp;A405))</f>
        <v/>
      </c>
      <c r="I405" s="19" t="str">
        <f aca="false">IF(H405="","",MAX(0,Setup!$B$5-H405))</f>
        <v/>
      </c>
    </row>
    <row r="406" customFormat="false" ht="15" hidden="false" customHeight="false" outlineLevel="0" collapsed="false">
      <c r="A406" s="16"/>
      <c r="B406" s="17"/>
      <c r="C406" s="18"/>
      <c r="D406" s="18"/>
      <c r="E406" s="19" t="str">
        <f aca="false">IF(OR(C406="",D406=""),"",IF(D406&lt;=C406,"Check times",ROUND((D406-C406)*24,2)))</f>
        <v/>
      </c>
      <c r="F406" s="20" t="str">
        <f aca="false">IF(A406="","",A406-WEEKDAY(A406,3))</f>
        <v/>
      </c>
      <c r="G406" s="21"/>
      <c r="H406" s="19" t="str">
        <f aca="false">IF(OR(B406="",NOT(ISNUMBER(E406))),"",SUMIFS($E$6:$E$505,$B$6:$B$505,B406,$F$6:$F$505,F406,$A$6:$A$505,"&lt;="&amp;A406))</f>
        <v/>
      </c>
      <c r="I406" s="19" t="str">
        <f aca="false">IF(H406="","",MAX(0,Setup!$B$5-H406))</f>
        <v/>
      </c>
    </row>
    <row r="407" customFormat="false" ht="15" hidden="false" customHeight="false" outlineLevel="0" collapsed="false">
      <c r="A407" s="16"/>
      <c r="B407" s="17"/>
      <c r="C407" s="18"/>
      <c r="D407" s="18"/>
      <c r="E407" s="19" t="str">
        <f aca="false">IF(OR(C407="",D407=""),"",IF(D407&lt;=C407,"Check times",ROUND((D407-C407)*24,2)))</f>
        <v/>
      </c>
      <c r="F407" s="20" t="str">
        <f aca="false">IF(A407="","",A407-WEEKDAY(A407,3))</f>
        <v/>
      </c>
      <c r="G407" s="21"/>
      <c r="H407" s="19" t="str">
        <f aca="false">IF(OR(B407="",NOT(ISNUMBER(E407))),"",SUMIFS($E$6:$E$505,$B$6:$B$505,B407,$F$6:$F$505,F407,$A$6:$A$505,"&lt;="&amp;A407))</f>
        <v/>
      </c>
      <c r="I407" s="19" t="str">
        <f aca="false">IF(H407="","",MAX(0,Setup!$B$5-H407))</f>
        <v/>
      </c>
    </row>
    <row r="408" customFormat="false" ht="15" hidden="false" customHeight="false" outlineLevel="0" collapsed="false">
      <c r="A408" s="16"/>
      <c r="B408" s="17"/>
      <c r="C408" s="18"/>
      <c r="D408" s="18"/>
      <c r="E408" s="19" t="str">
        <f aca="false">IF(OR(C408="",D408=""),"",IF(D408&lt;=C408,"Check times",ROUND((D408-C408)*24,2)))</f>
        <v/>
      </c>
      <c r="F408" s="20" t="str">
        <f aca="false">IF(A408="","",A408-WEEKDAY(A408,3))</f>
        <v/>
      </c>
      <c r="G408" s="21"/>
      <c r="H408" s="19" t="str">
        <f aca="false">IF(OR(B408="",NOT(ISNUMBER(E408))),"",SUMIFS($E$6:$E$505,$B$6:$B$505,B408,$F$6:$F$505,F408,$A$6:$A$505,"&lt;="&amp;A408))</f>
        <v/>
      </c>
      <c r="I408" s="19" t="str">
        <f aca="false">IF(H408="","",MAX(0,Setup!$B$5-H408))</f>
        <v/>
      </c>
    </row>
    <row r="409" customFormat="false" ht="15" hidden="false" customHeight="false" outlineLevel="0" collapsed="false">
      <c r="A409" s="16"/>
      <c r="B409" s="17"/>
      <c r="C409" s="18"/>
      <c r="D409" s="18"/>
      <c r="E409" s="19" t="str">
        <f aca="false">IF(OR(C409="",D409=""),"",IF(D409&lt;=C409,"Check times",ROUND((D409-C409)*24,2)))</f>
        <v/>
      </c>
      <c r="F409" s="20" t="str">
        <f aca="false">IF(A409="","",A409-WEEKDAY(A409,3))</f>
        <v/>
      </c>
      <c r="G409" s="21"/>
      <c r="H409" s="19" t="str">
        <f aca="false">IF(OR(B409="",NOT(ISNUMBER(E409))),"",SUMIFS($E$6:$E$505,$B$6:$B$505,B409,$F$6:$F$505,F409,$A$6:$A$505,"&lt;="&amp;A409))</f>
        <v/>
      </c>
      <c r="I409" s="19" t="str">
        <f aca="false">IF(H409="","",MAX(0,Setup!$B$5-H409))</f>
        <v/>
      </c>
    </row>
    <row r="410" customFormat="false" ht="15" hidden="false" customHeight="false" outlineLevel="0" collapsed="false">
      <c r="A410" s="16"/>
      <c r="B410" s="17"/>
      <c r="C410" s="18"/>
      <c r="D410" s="18"/>
      <c r="E410" s="19" t="str">
        <f aca="false">IF(OR(C410="",D410=""),"",IF(D410&lt;=C410,"Check times",ROUND((D410-C410)*24,2)))</f>
        <v/>
      </c>
      <c r="F410" s="20" t="str">
        <f aca="false">IF(A410="","",A410-WEEKDAY(A410,3))</f>
        <v/>
      </c>
      <c r="G410" s="21"/>
      <c r="H410" s="19" t="str">
        <f aca="false">IF(OR(B410="",NOT(ISNUMBER(E410))),"",SUMIFS($E$6:$E$505,$B$6:$B$505,B410,$F$6:$F$505,F410,$A$6:$A$505,"&lt;="&amp;A410))</f>
        <v/>
      </c>
      <c r="I410" s="19" t="str">
        <f aca="false">IF(H410="","",MAX(0,Setup!$B$5-H410))</f>
        <v/>
      </c>
    </row>
    <row r="411" customFormat="false" ht="15" hidden="false" customHeight="false" outlineLevel="0" collapsed="false">
      <c r="A411" s="16"/>
      <c r="B411" s="17"/>
      <c r="C411" s="18"/>
      <c r="D411" s="18"/>
      <c r="E411" s="19" t="str">
        <f aca="false">IF(OR(C411="",D411=""),"",IF(D411&lt;=C411,"Check times",ROUND((D411-C411)*24,2)))</f>
        <v/>
      </c>
      <c r="F411" s="20" t="str">
        <f aca="false">IF(A411="","",A411-WEEKDAY(A411,3))</f>
        <v/>
      </c>
      <c r="G411" s="21"/>
      <c r="H411" s="19" t="str">
        <f aca="false">IF(OR(B411="",NOT(ISNUMBER(E411))),"",SUMIFS($E$6:$E$505,$B$6:$B$505,B411,$F$6:$F$505,F411,$A$6:$A$505,"&lt;="&amp;A411))</f>
        <v/>
      </c>
      <c r="I411" s="19" t="str">
        <f aca="false">IF(H411="","",MAX(0,Setup!$B$5-H411))</f>
        <v/>
      </c>
    </row>
    <row r="412" customFormat="false" ht="15" hidden="false" customHeight="false" outlineLevel="0" collapsed="false">
      <c r="A412" s="16"/>
      <c r="B412" s="17"/>
      <c r="C412" s="18"/>
      <c r="D412" s="18"/>
      <c r="E412" s="19" t="str">
        <f aca="false">IF(OR(C412="",D412=""),"",IF(D412&lt;=C412,"Check times",ROUND((D412-C412)*24,2)))</f>
        <v/>
      </c>
      <c r="F412" s="20" t="str">
        <f aca="false">IF(A412="","",A412-WEEKDAY(A412,3))</f>
        <v/>
      </c>
      <c r="G412" s="21"/>
      <c r="H412" s="19" t="str">
        <f aca="false">IF(OR(B412="",NOT(ISNUMBER(E412))),"",SUMIFS($E$6:$E$505,$B$6:$B$505,B412,$F$6:$F$505,F412,$A$6:$A$505,"&lt;="&amp;A412))</f>
        <v/>
      </c>
      <c r="I412" s="19" t="str">
        <f aca="false">IF(H412="","",MAX(0,Setup!$B$5-H412))</f>
        <v/>
      </c>
    </row>
    <row r="413" customFormat="false" ht="15" hidden="false" customHeight="false" outlineLevel="0" collapsed="false">
      <c r="A413" s="16"/>
      <c r="B413" s="17"/>
      <c r="C413" s="18"/>
      <c r="D413" s="18"/>
      <c r="E413" s="19" t="str">
        <f aca="false">IF(OR(C413="",D413=""),"",IF(D413&lt;=C413,"Check times",ROUND((D413-C413)*24,2)))</f>
        <v/>
      </c>
      <c r="F413" s="20" t="str">
        <f aca="false">IF(A413="","",A413-WEEKDAY(A413,3))</f>
        <v/>
      </c>
      <c r="G413" s="21"/>
      <c r="H413" s="19" t="str">
        <f aca="false">IF(OR(B413="",NOT(ISNUMBER(E413))),"",SUMIFS($E$6:$E$505,$B$6:$B$505,B413,$F$6:$F$505,F413,$A$6:$A$505,"&lt;="&amp;A413))</f>
        <v/>
      </c>
      <c r="I413" s="19" t="str">
        <f aca="false">IF(H413="","",MAX(0,Setup!$B$5-H413))</f>
        <v/>
      </c>
    </row>
    <row r="414" customFormat="false" ht="15" hidden="false" customHeight="false" outlineLevel="0" collapsed="false">
      <c r="A414" s="16"/>
      <c r="B414" s="17"/>
      <c r="C414" s="18"/>
      <c r="D414" s="18"/>
      <c r="E414" s="19" t="str">
        <f aca="false">IF(OR(C414="",D414=""),"",IF(D414&lt;=C414,"Check times",ROUND((D414-C414)*24,2)))</f>
        <v/>
      </c>
      <c r="F414" s="20" t="str">
        <f aca="false">IF(A414="","",A414-WEEKDAY(A414,3))</f>
        <v/>
      </c>
      <c r="G414" s="21"/>
      <c r="H414" s="19" t="str">
        <f aca="false">IF(OR(B414="",NOT(ISNUMBER(E414))),"",SUMIFS($E$6:$E$505,$B$6:$B$505,B414,$F$6:$F$505,F414,$A$6:$A$505,"&lt;="&amp;A414))</f>
        <v/>
      </c>
      <c r="I414" s="19" t="str">
        <f aca="false">IF(H414="","",MAX(0,Setup!$B$5-H414))</f>
        <v/>
      </c>
    </row>
    <row r="415" customFormat="false" ht="15" hidden="false" customHeight="false" outlineLevel="0" collapsed="false">
      <c r="A415" s="16"/>
      <c r="B415" s="17"/>
      <c r="C415" s="18"/>
      <c r="D415" s="18"/>
      <c r="E415" s="19" t="str">
        <f aca="false">IF(OR(C415="",D415=""),"",IF(D415&lt;=C415,"Check times",ROUND((D415-C415)*24,2)))</f>
        <v/>
      </c>
      <c r="F415" s="20" t="str">
        <f aca="false">IF(A415="","",A415-WEEKDAY(A415,3))</f>
        <v/>
      </c>
      <c r="G415" s="21"/>
      <c r="H415" s="19" t="str">
        <f aca="false">IF(OR(B415="",NOT(ISNUMBER(E415))),"",SUMIFS($E$6:$E$505,$B$6:$B$505,B415,$F$6:$F$505,F415,$A$6:$A$505,"&lt;="&amp;A415))</f>
        <v/>
      </c>
      <c r="I415" s="19" t="str">
        <f aca="false">IF(H415="","",MAX(0,Setup!$B$5-H415))</f>
        <v/>
      </c>
    </row>
    <row r="416" customFormat="false" ht="15" hidden="false" customHeight="false" outlineLevel="0" collapsed="false">
      <c r="A416" s="16"/>
      <c r="B416" s="17"/>
      <c r="C416" s="18"/>
      <c r="D416" s="18"/>
      <c r="E416" s="19" t="str">
        <f aca="false">IF(OR(C416="",D416=""),"",IF(D416&lt;=C416,"Check times",ROUND((D416-C416)*24,2)))</f>
        <v/>
      </c>
      <c r="F416" s="20" t="str">
        <f aca="false">IF(A416="","",A416-WEEKDAY(A416,3))</f>
        <v/>
      </c>
      <c r="G416" s="21"/>
      <c r="H416" s="19" t="str">
        <f aca="false">IF(OR(B416="",NOT(ISNUMBER(E416))),"",SUMIFS($E$6:$E$505,$B$6:$B$505,B416,$F$6:$F$505,F416,$A$6:$A$505,"&lt;="&amp;A416))</f>
        <v/>
      </c>
      <c r="I416" s="19" t="str">
        <f aca="false">IF(H416="","",MAX(0,Setup!$B$5-H416))</f>
        <v/>
      </c>
    </row>
    <row r="417" customFormat="false" ht="15" hidden="false" customHeight="false" outlineLevel="0" collapsed="false">
      <c r="A417" s="16"/>
      <c r="B417" s="17"/>
      <c r="C417" s="18"/>
      <c r="D417" s="18"/>
      <c r="E417" s="19" t="str">
        <f aca="false">IF(OR(C417="",D417=""),"",IF(D417&lt;=C417,"Check times",ROUND((D417-C417)*24,2)))</f>
        <v/>
      </c>
      <c r="F417" s="20" t="str">
        <f aca="false">IF(A417="","",A417-WEEKDAY(A417,3))</f>
        <v/>
      </c>
      <c r="G417" s="21"/>
      <c r="H417" s="19" t="str">
        <f aca="false">IF(OR(B417="",NOT(ISNUMBER(E417))),"",SUMIFS($E$6:$E$505,$B$6:$B$505,B417,$F$6:$F$505,F417,$A$6:$A$505,"&lt;="&amp;A417))</f>
        <v/>
      </c>
      <c r="I417" s="19" t="str">
        <f aca="false">IF(H417="","",MAX(0,Setup!$B$5-H417))</f>
        <v/>
      </c>
    </row>
    <row r="418" customFormat="false" ht="15" hidden="false" customHeight="false" outlineLevel="0" collapsed="false">
      <c r="A418" s="16"/>
      <c r="B418" s="17"/>
      <c r="C418" s="18"/>
      <c r="D418" s="18"/>
      <c r="E418" s="19" t="str">
        <f aca="false">IF(OR(C418="",D418=""),"",IF(D418&lt;=C418,"Check times",ROUND((D418-C418)*24,2)))</f>
        <v/>
      </c>
      <c r="F418" s="20" t="str">
        <f aca="false">IF(A418="","",A418-WEEKDAY(A418,3))</f>
        <v/>
      </c>
      <c r="G418" s="21"/>
      <c r="H418" s="19" t="str">
        <f aca="false">IF(OR(B418="",NOT(ISNUMBER(E418))),"",SUMIFS($E$6:$E$505,$B$6:$B$505,B418,$F$6:$F$505,F418,$A$6:$A$505,"&lt;="&amp;A418))</f>
        <v/>
      </c>
      <c r="I418" s="19" t="str">
        <f aca="false">IF(H418="","",MAX(0,Setup!$B$5-H418))</f>
        <v/>
      </c>
    </row>
    <row r="419" customFormat="false" ht="15" hidden="false" customHeight="false" outlineLevel="0" collapsed="false">
      <c r="A419" s="16"/>
      <c r="B419" s="17"/>
      <c r="C419" s="18"/>
      <c r="D419" s="18"/>
      <c r="E419" s="19" t="str">
        <f aca="false">IF(OR(C419="",D419=""),"",IF(D419&lt;=C419,"Check times",ROUND((D419-C419)*24,2)))</f>
        <v/>
      </c>
      <c r="F419" s="20" t="str">
        <f aca="false">IF(A419="","",A419-WEEKDAY(A419,3))</f>
        <v/>
      </c>
      <c r="G419" s="21"/>
      <c r="H419" s="19" t="str">
        <f aca="false">IF(OR(B419="",NOT(ISNUMBER(E419))),"",SUMIFS($E$6:$E$505,$B$6:$B$505,B419,$F$6:$F$505,F419,$A$6:$A$505,"&lt;="&amp;A419))</f>
        <v/>
      </c>
      <c r="I419" s="19" t="str">
        <f aca="false">IF(H419="","",MAX(0,Setup!$B$5-H419))</f>
        <v/>
      </c>
    </row>
    <row r="420" customFormat="false" ht="15" hidden="false" customHeight="false" outlineLevel="0" collapsed="false">
      <c r="A420" s="16"/>
      <c r="B420" s="17"/>
      <c r="C420" s="18"/>
      <c r="D420" s="18"/>
      <c r="E420" s="19" t="str">
        <f aca="false">IF(OR(C420="",D420=""),"",IF(D420&lt;=C420,"Check times",ROUND((D420-C420)*24,2)))</f>
        <v/>
      </c>
      <c r="F420" s="20" t="str">
        <f aca="false">IF(A420="","",A420-WEEKDAY(A420,3))</f>
        <v/>
      </c>
      <c r="G420" s="21"/>
      <c r="H420" s="19" t="str">
        <f aca="false">IF(OR(B420="",NOT(ISNUMBER(E420))),"",SUMIFS($E$6:$E$505,$B$6:$B$505,B420,$F$6:$F$505,F420,$A$6:$A$505,"&lt;="&amp;A420))</f>
        <v/>
      </c>
      <c r="I420" s="19" t="str">
        <f aca="false">IF(H420="","",MAX(0,Setup!$B$5-H420))</f>
        <v/>
      </c>
    </row>
    <row r="421" customFormat="false" ht="15" hidden="false" customHeight="false" outlineLevel="0" collapsed="false">
      <c r="A421" s="16"/>
      <c r="B421" s="17"/>
      <c r="C421" s="18"/>
      <c r="D421" s="18"/>
      <c r="E421" s="19" t="str">
        <f aca="false">IF(OR(C421="",D421=""),"",IF(D421&lt;=C421,"Check times",ROUND((D421-C421)*24,2)))</f>
        <v/>
      </c>
      <c r="F421" s="20" t="str">
        <f aca="false">IF(A421="","",A421-WEEKDAY(A421,3))</f>
        <v/>
      </c>
      <c r="G421" s="21"/>
      <c r="H421" s="19" t="str">
        <f aca="false">IF(OR(B421="",NOT(ISNUMBER(E421))),"",SUMIFS($E$6:$E$505,$B$6:$B$505,B421,$F$6:$F$505,F421,$A$6:$A$505,"&lt;="&amp;A421))</f>
        <v/>
      </c>
      <c r="I421" s="19" t="str">
        <f aca="false">IF(H421="","",MAX(0,Setup!$B$5-H421))</f>
        <v/>
      </c>
    </row>
    <row r="422" customFormat="false" ht="15" hidden="false" customHeight="false" outlineLevel="0" collapsed="false">
      <c r="A422" s="16"/>
      <c r="B422" s="17"/>
      <c r="C422" s="18"/>
      <c r="D422" s="18"/>
      <c r="E422" s="19" t="str">
        <f aca="false">IF(OR(C422="",D422=""),"",IF(D422&lt;=C422,"Check times",ROUND((D422-C422)*24,2)))</f>
        <v/>
      </c>
      <c r="F422" s="20" t="str">
        <f aca="false">IF(A422="","",A422-WEEKDAY(A422,3))</f>
        <v/>
      </c>
      <c r="G422" s="21"/>
      <c r="H422" s="19" t="str">
        <f aca="false">IF(OR(B422="",NOT(ISNUMBER(E422))),"",SUMIFS($E$6:$E$505,$B$6:$B$505,B422,$F$6:$F$505,F422,$A$6:$A$505,"&lt;="&amp;A422))</f>
        <v/>
      </c>
      <c r="I422" s="19" t="str">
        <f aca="false">IF(H422="","",MAX(0,Setup!$B$5-H422))</f>
        <v/>
      </c>
    </row>
    <row r="423" customFormat="false" ht="15" hidden="false" customHeight="false" outlineLevel="0" collapsed="false">
      <c r="A423" s="16"/>
      <c r="B423" s="17"/>
      <c r="C423" s="18"/>
      <c r="D423" s="18"/>
      <c r="E423" s="19" t="str">
        <f aca="false">IF(OR(C423="",D423=""),"",IF(D423&lt;=C423,"Check times",ROUND((D423-C423)*24,2)))</f>
        <v/>
      </c>
      <c r="F423" s="20" t="str">
        <f aca="false">IF(A423="","",A423-WEEKDAY(A423,3))</f>
        <v/>
      </c>
      <c r="G423" s="21"/>
      <c r="H423" s="19" t="str">
        <f aca="false">IF(OR(B423="",NOT(ISNUMBER(E423))),"",SUMIFS($E$6:$E$505,$B$6:$B$505,B423,$F$6:$F$505,F423,$A$6:$A$505,"&lt;="&amp;A423))</f>
        <v/>
      </c>
      <c r="I423" s="19" t="str">
        <f aca="false">IF(H423="","",MAX(0,Setup!$B$5-H423))</f>
        <v/>
      </c>
    </row>
    <row r="424" customFormat="false" ht="15" hidden="false" customHeight="false" outlineLevel="0" collapsed="false">
      <c r="A424" s="16"/>
      <c r="B424" s="17"/>
      <c r="C424" s="18"/>
      <c r="D424" s="18"/>
      <c r="E424" s="19" t="str">
        <f aca="false">IF(OR(C424="",D424=""),"",IF(D424&lt;=C424,"Check times",ROUND((D424-C424)*24,2)))</f>
        <v/>
      </c>
      <c r="F424" s="20" t="str">
        <f aca="false">IF(A424="","",A424-WEEKDAY(A424,3))</f>
        <v/>
      </c>
      <c r="G424" s="21"/>
      <c r="H424" s="19" t="str">
        <f aca="false">IF(OR(B424="",NOT(ISNUMBER(E424))),"",SUMIFS($E$6:$E$505,$B$6:$B$505,B424,$F$6:$F$505,F424,$A$6:$A$505,"&lt;="&amp;A424))</f>
        <v/>
      </c>
      <c r="I424" s="19" t="str">
        <f aca="false">IF(H424="","",MAX(0,Setup!$B$5-H424))</f>
        <v/>
      </c>
    </row>
    <row r="425" customFormat="false" ht="15" hidden="false" customHeight="false" outlineLevel="0" collapsed="false">
      <c r="A425" s="16"/>
      <c r="B425" s="17"/>
      <c r="C425" s="18"/>
      <c r="D425" s="18"/>
      <c r="E425" s="19" t="str">
        <f aca="false">IF(OR(C425="",D425=""),"",IF(D425&lt;=C425,"Check times",ROUND((D425-C425)*24,2)))</f>
        <v/>
      </c>
      <c r="F425" s="20" t="str">
        <f aca="false">IF(A425="","",A425-WEEKDAY(A425,3))</f>
        <v/>
      </c>
      <c r="G425" s="21"/>
      <c r="H425" s="19" t="str">
        <f aca="false">IF(OR(B425="",NOT(ISNUMBER(E425))),"",SUMIFS($E$6:$E$505,$B$6:$B$505,B425,$F$6:$F$505,F425,$A$6:$A$505,"&lt;="&amp;A425))</f>
        <v/>
      </c>
      <c r="I425" s="19" t="str">
        <f aca="false">IF(H425="","",MAX(0,Setup!$B$5-H425))</f>
        <v/>
      </c>
    </row>
    <row r="426" customFormat="false" ht="15" hidden="false" customHeight="false" outlineLevel="0" collapsed="false">
      <c r="A426" s="16"/>
      <c r="B426" s="17"/>
      <c r="C426" s="18"/>
      <c r="D426" s="18"/>
      <c r="E426" s="19" t="str">
        <f aca="false">IF(OR(C426="",D426=""),"",IF(D426&lt;=C426,"Check times",ROUND((D426-C426)*24,2)))</f>
        <v/>
      </c>
      <c r="F426" s="20" t="str">
        <f aca="false">IF(A426="","",A426-WEEKDAY(A426,3))</f>
        <v/>
      </c>
      <c r="G426" s="21"/>
      <c r="H426" s="19" t="str">
        <f aca="false">IF(OR(B426="",NOT(ISNUMBER(E426))),"",SUMIFS($E$6:$E$505,$B$6:$B$505,B426,$F$6:$F$505,F426,$A$6:$A$505,"&lt;="&amp;A426))</f>
        <v/>
      </c>
      <c r="I426" s="19" t="str">
        <f aca="false">IF(H426="","",MAX(0,Setup!$B$5-H426))</f>
        <v/>
      </c>
    </row>
    <row r="427" customFormat="false" ht="15" hidden="false" customHeight="false" outlineLevel="0" collapsed="false">
      <c r="A427" s="16"/>
      <c r="B427" s="17"/>
      <c r="C427" s="18"/>
      <c r="D427" s="18"/>
      <c r="E427" s="19" t="str">
        <f aca="false">IF(OR(C427="",D427=""),"",IF(D427&lt;=C427,"Check times",ROUND((D427-C427)*24,2)))</f>
        <v/>
      </c>
      <c r="F427" s="20" t="str">
        <f aca="false">IF(A427="","",A427-WEEKDAY(A427,3))</f>
        <v/>
      </c>
      <c r="G427" s="21"/>
      <c r="H427" s="19" t="str">
        <f aca="false">IF(OR(B427="",NOT(ISNUMBER(E427))),"",SUMIFS($E$6:$E$505,$B$6:$B$505,B427,$F$6:$F$505,F427,$A$6:$A$505,"&lt;="&amp;A427))</f>
        <v/>
      </c>
      <c r="I427" s="19" t="str">
        <f aca="false">IF(H427="","",MAX(0,Setup!$B$5-H427))</f>
        <v/>
      </c>
    </row>
    <row r="428" customFormat="false" ht="15" hidden="false" customHeight="false" outlineLevel="0" collapsed="false">
      <c r="A428" s="16"/>
      <c r="B428" s="17"/>
      <c r="C428" s="18"/>
      <c r="D428" s="18"/>
      <c r="E428" s="19" t="str">
        <f aca="false">IF(OR(C428="",D428=""),"",IF(D428&lt;=C428,"Check times",ROUND((D428-C428)*24,2)))</f>
        <v/>
      </c>
      <c r="F428" s="20" t="str">
        <f aca="false">IF(A428="","",A428-WEEKDAY(A428,3))</f>
        <v/>
      </c>
      <c r="G428" s="21"/>
      <c r="H428" s="19" t="str">
        <f aca="false">IF(OR(B428="",NOT(ISNUMBER(E428))),"",SUMIFS($E$6:$E$505,$B$6:$B$505,B428,$F$6:$F$505,F428,$A$6:$A$505,"&lt;="&amp;A428))</f>
        <v/>
      </c>
      <c r="I428" s="19" t="str">
        <f aca="false">IF(H428="","",MAX(0,Setup!$B$5-H428))</f>
        <v/>
      </c>
    </row>
    <row r="429" customFormat="false" ht="15" hidden="false" customHeight="false" outlineLevel="0" collapsed="false">
      <c r="A429" s="16"/>
      <c r="B429" s="17"/>
      <c r="C429" s="18"/>
      <c r="D429" s="18"/>
      <c r="E429" s="19" t="str">
        <f aca="false">IF(OR(C429="",D429=""),"",IF(D429&lt;=C429,"Check times",ROUND((D429-C429)*24,2)))</f>
        <v/>
      </c>
      <c r="F429" s="20" t="str">
        <f aca="false">IF(A429="","",A429-WEEKDAY(A429,3))</f>
        <v/>
      </c>
      <c r="G429" s="21"/>
      <c r="H429" s="19" t="str">
        <f aca="false">IF(OR(B429="",NOT(ISNUMBER(E429))),"",SUMIFS($E$6:$E$505,$B$6:$B$505,B429,$F$6:$F$505,F429,$A$6:$A$505,"&lt;="&amp;A429))</f>
        <v/>
      </c>
      <c r="I429" s="19" t="str">
        <f aca="false">IF(H429="","",MAX(0,Setup!$B$5-H429))</f>
        <v/>
      </c>
    </row>
    <row r="430" customFormat="false" ht="15" hidden="false" customHeight="false" outlineLevel="0" collapsed="false">
      <c r="A430" s="16"/>
      <c r="B430" s="17"/>
      <c r="C430" s="18"/>
      <c r="D430" s="18"/>
      <c r="E430" s="19" t="str">
        <f aca="false">IF(OR(C430="",D430=""),"",IF(D430&lt;=C430,"Check times",ROUND((D430-C430)*24,2)))</f>
        <v/>
      </c>
      <c r="F430" s="20" t="str">
        <f aca="false">IF(A430="","",A430-WEEKDAY(A430,3))</f>
        <v/>
      </c>
      <c r="G430" s="21"/>
      <c r="H430" s="19" t="str">
        <f aca="false">IF(OR(B430="",NOT(ISNUMBER(E430))),"",SUMIFS($E$6:$E$505,$B$6:$B$505,B430,$F$6:$F$505,F430,$A$6:$A$505,"&lt;="&amp;A430))</f>
        <v/>
      </c>
      <c r="I430" s="19" t="str">
        <f aca="false">IF(H430="","",MAX(0,Setup!$B$5-H430))</f>
        <v/>
      </c>
    </row>
    <row r="431" customFormat="false" ht="15" hidden="false" customHeight="false" outlineLevel="0" collapsed="false">
      <c r="A431" s="16"/>
      <c r="B431" s="17"/>
      <c r="C431" s="18"/>
      <c r="D431" s="18"/>
      <c r="E431" s="19" t="str">
        <f aca="false">IF(OR(C431="",D431=""),"",IF(D431&lt;=C431,"Check times",ROUND((D431-C431)*24,2)))</f>
        <v/>
      </c>
      <c r="F431" s="20" t="str">
        <f aca="false">IF(A431="","",A431-WEEKDAY(A431,3))</f>
        <v/>
      </c>
      <c r="G431" s="21"/>
      <c r="H431" s="19" t="str">
        <f aca="false">IF(OR(B431="",NOT(ISNUMBER(E431))),"",SUMIFS($E$6:$E$505,$B$6:$B$505,B431,$F$6:$F$505,F431,$A$6:$A$505,"&lt;="&amp;A431))</f>
        <v/>
      </c>
      <c r="I431" s="19" t="str">
        <f aca="false">IF(H431="","",MAX(0,Setup!$B$5-H431))</f>
        <v/>
      </c>
    </row>
    <row r="432" customFormat="false" ht="15" hidden="false" customHeight="false" outlineLevel="0" collapsed="false">
      <c r="A432" s="16"/>
      <c r="B432" s="17"/>
      <c r="C432" s="18"/>
      <c r="D432" s="18"/>
      <c r="E432" s="19" t="str">
        <f aca="false">IF(OR(C432="",D432=""),"",IF(D432&lt;=C432,"Check times",ROUND((D432-C432)*24,2)))</f>
        <v/>
      </c>
      <c r="F432" s="20" t="str">
        <f aca="false">IF(A432="","",A432-WEEKDAY(A432,3))</f>
        <v/>
      </c>
      <c r="G432" s="21"/>
      <c r="H432" s="19" t="str">
        <f aca="false">IF(OR(B432="",NOT(ISNUMBER(E432))),"",SUMIFS($E$6:$E$505,$B$6:$B$505,B432,$F$6:$F$505,F432,$A$6:$A$505,"&lt;="&amp;A432))</f>
        <v/>
      </c>
      <c r="I432" s="19" t="str">
        <f aca="false">IF(H432="","",MAX(0,Setup!$B$5-H432))</f>
        <v/>
      </c>
    </row>
    <row r="433" customFormat="false" ht="15" hidden="false" customHeight="false" outlineLevel="0" collapsed="false">
      <c r="A433" s="16"/>
      <c r="B433" s="17"/>
      <c r="C433" s="18"/>
      <c r="D433" s="18"/>
      <c r="E433" s="19" t="str">
        <f aca="false">IF(OR(C433="",D433=""),"",IF(D433&lt;=C433,"Check times",ROUND((D433-C433)*24,2)))</f>
        <v/>
      </c>
      <c r="F433" s="20" t="str">
        <f aca="false">IF(A433="","",A433-WEEKDAY(A433,3))</f>
        <v/>
      </c>
      <c r="G433" s="21"/>
      <c r="H433" s="19" t="str">
        <f aca="false">IF(OR(B433="",NOT(ISNUMBER(E433))),"",SUMIFS($E$6:$E$505,$B$6:$B$505,B433,$F$6:$F$505,F433,$A$6:$A$505,"&lt;="&amp;A433))</f>
        <v/>
      </c>
      <c r="I433" s="19" t="str">
        <f aca="false">IF(H433="","",MAX(0,Setup!$B$5-H433))</f>
        <v/>
      </c>
    </row>
    <row r="434" customFormat="false" ht="15" hidden="false" customHeight="false" outlineLevel="0" collapsed="false">
      <c r="A434" s="16"/>
      <c r="B434" s="17"/>
      <c r="C434" s="18"/>
      <c r="D434" s="18"/>
      <c r="E434" s="19" t="str">
        <f aca="false">IF(OR(C434="",D434=""),"",IF(D434&lt;=C434,"Check times",ROUND((D434-C434)*24,2)))</f>
        <v/>
      </c>
      <c r="F434" s="20" t="str">
        <f aca="false">IF(A434="","",A434-WEEKDAY(A434,3))</f>
        <v/>
      </c>
      <c r="G434" s="21"/>
      <c r="H434" s="19" t="str">
        <f aca="false">IF(OR(B434="",NOT(ISNUMBER(E434))),"",SUMIFS($E$6:$E$505,$B$6:$B$505,B434,$F$6:$F$505,F434,$A$6:$A$505,"&lt;="&amp;A434))</f>
        <v/>
      </c>
      <c r="I434" s="19" t="str">
        <f aca="false">IF(H434="","",MAX(0,Setup!$B$5-H434))</f>
        <v/>
      </c>
    </row>
    <row r="435" customFormat="false" ht="15" hidden="false" customHeight="false" outlineLevel="0" collapsed="false">
      <c r="A435" s="16"/>
      <c r="B435" s="17"/>
      <c r="C435" s="18"/>
      <c r="D435" s="18"/>
      <c r="E435" s="19" t="str">
        <f aca="false">IF(OR(C435="",D435=""),"",IF(D435&lt;=C435,"Check times",ROUND((D435-C435)*24,2)))</f>
        <v/>
      </c>
      <c r="F435" s="20" t="str">
        <f aca="false">IF(A435="","",A435-WEEKDAY(A435,3))</f>
        <v/>
      </c>
      <c r="G435" s="21"/>
      <c r="H435" s="19" t="str">
        <f aca="false">IF(OR(B435="",NOT(ISNUMBER(E435))),"",SUMIFS($E$6:$E$505,$B$6:$B$505,B435,$F$6:$F$505,F435,$A$6:$A$505,"&lt;="&amp;A435))</f>
        <v/>
      </c>
      <c r="I435" s="19" t="str">
        <f aca="false">IF(H435="","",MAX(0,Setup!$B$5-H435))</f>
        <v/>
      </c>
    </row>
    <row r="436" customFormat="false" ht="15" hidden="false" customHeight="false" outlineLevel="0" collapsed="false">
      <c r="A436" s="16"/>
      <c r="B436" s="17"/>
      <c r="C436" s="18"/>
      <c r="D436" s="18"/>
      <c r="E436" s="19" t="str">
        <f aca="false">IF(OR(C436="",D436=""),"",IF(D436&lt;=C436,"Check times",ROUND((D436-C436)*24,2)))</f>
        <v/>
      </c>
      <c r="F436" s="20" t="str">
        <f aca="false">IF(A436="","",A436-WEEKDAY(A436,3))</f>
        <v/>
      </c>
      <c r="G436" s="21"/>
      <c r="H436" s="19" t="str">
        <f aca="false">IF(OR(B436="",NOT(ISNUMBER(E436))),"",SUMIFS($E$6:$E$505,$B$6:$B$505,B436,$F$6:$F$505,F436,$A$6:$A$505,"&lt;="&amp;A436))</f>
        <v/>
      </c>
      <c r="I436" s="19" t="str">
        <f aca="false">IF(H436="","",MAX(0,Setup!$B$5-H436))</f>
        <v/>
      </c>
    </row>
    <row r="437" customFormat="false" ht="15" hidden="false" customHeight="false" outlineLevel="0" collapsed="false">
      <c r="A437" s="16"/>
      <c r="B437" s="17"/>
      <c r="C437" s="18"/>
      <c r="D437" s="18"/>
      <c r="E437" s="19" t="str">
        <f aca="false">IF(OR(C437="",D437=""),"",IF(D437&lt;=C437,"Check times",ROUND((D437-C437)*24,2)))</f>
        <v/>
      </c>
      <c r="F437" s="20" t="str">
        <f aca="false">IF(A437="","",A437-WEEKDAY(A437,3))</f>
        <v/>
      </c>
      <c r="G437" s="21"/>
      <c r="H437" s="19" t="str">
        <f aca="false">IF(OR(B437="",NOT(ISNUMBER(E437))),"",SUMIFS($E$6:$E$505,$B$6:$B$505,B437,$F$6:$F$505,F437,$A$6:$A$505,"&lt;="&amp;A437))</f>
        <v/>
      </c>
      <c r="I437" s="19" t="str">
        <f aca="false">IF(H437="","",MAX(0,Setup!$B$5-H437))</f>
        <v/>
      </c>
    </row>
    <row r="438" customFormat="false" ht="15" hidden="false" customHeight="false" outlineLevel="0" collapsed="false">
      <c r="A438" s="16"/>
      <c r="B438" s="17"/>
      <c r="C438" s="18"/>
      <c r="D438" s="18"/>
      <c r="E438" s="19" t="str">
        <f aca="false">IF(OR(C438="",D438=""),"",IF(D438&lt;=C438,"Check times",ROUND((D438-C438)*24,2)))</f>
        <v/>
      </c>
      <c r="F438" s="20" t="str">
        <f aca="false">IF(A438="","",A438-WEEKDAY(A438,3))</f>
        <v/>
      </c>
      <c r="G438" s="21"/>
      <c r="H438" s="19" t="str">
        <f aca="false">IF(OR(B438="",NOT(ISNUMBER(E438))),"",SUMIFS($E$6:$E$505,$B$6:$B$505,B438,$F$6:$F$505,F438,$A$6:$A$505,"&lt;="&amp;A438))</f>
        <v/>
      </c>
      <c r="I438" s="19" t="str">
        <f aca="false">IF(H438="","",MAX(0,Setup!$B$5-H438))</f>
        <v/>
      </c>
    </row>
    <row r="439" customFormat="false" ht="15" hidden="false" customHeight="false" outlineLevel="0" collapsed="false">
      <c r="A439" s="16"/>
      <c r="B439" s="17"/>
      <c r="C439" s="18"/>
      <c r="D439" s="18"/>
      <c r="E439" s="19" t="str">
        <f aca="false">IF(OR(C439="",D439=""),"",IF(D439&lt;=C439,"Check times",ROUND((D439-C439)*24,2)))</f>
        <v/>
      </c>
      <c r="F439" s="20" t="str">
        <f aca="false">IF(A439="","",A439-WEEKDAY(A439,3))</f>
        <v/>
      </c>
      <c r="G439" s="21"/>
      <c r="H439" s="19" t="str">
        <f aca="false">IF(OR(B439="",NOT(ISNUMBER(E439))),"",SUMIFS($E$6:$E$505,$B$6:$B$505,B439,$F$6:$F$505,F439,$A$6:$A$505,"&lt;="&amp;A439))</f>
        <v/>
      </c>
      <c r="I439" s="19" t="str">
        <f aca="false">IF(H439="","",MAX(0,Setup!$B$5-H439))</f>
        <v/>
      </c>
    </row>
    <row r="440" customFormat="false" ht="15" hidden="false" customHeight="false" outlineLevel="0" collapsed="false">
      <c r="A440" s="16"/>
      <c r="B440" s="17"/>
      <c r="C440" s="18"/>
      <c r="D440" s="18"/>
      <c r="E440" s="19" t="str">
        <f aca="false">IF(OR(C440="",D440=""),"",IF(D440&lt;=C440,"Check times",ROUND((D440-C440)*24,2)))</f>
        <v/>
      </c>
      <c r="F440" s="20" t="str">
        <f aca="false">IF(A440="","",A440-WEEKDAY(A440,3))</f>
        <v/>
      </c>
      <c r="G440" s="21"/>
      <c r="H440" s="19" t="str">
        <f aca="false">IF(OR(B440="",NOT(ISNUMBER(E440))),"",SUMIFS($E$6:$E$505,$B$6:$B$505,B440,$F$6:$F$505,F440,$A$6:$A$505,"&lt;="&amp;A440))</f>
        <v/>
      </c>
      <c r="I440" s="19" t="str">
        <f aca="false">IF(H440="","",MAX(0,Setup!$B$5-H440))</f>
        <v/>
      </c>
    </row>
    <row r="441" customFormat="false" ht="15" hidden="false" customHeight="false" outlineLevel="0" collapsed="false">
      <c r="A441" s="16"/>
      <c r="B441" s="17"/>
      <c r="C441" s="18"/>
      <c r="D441" s="18"/>
      <c r="E441" s="19" t="str">
        <f aca="false">IF(OR(C441="",D441=""),"",IF(D441&lt;=C441,"Check times",ROUND((D441-C441)*24,2)))</f>
        <v/>
      </c>
      <c r="F441" s="20" t="str">
        <f aca="false">IF(A441="","",A441-WEEKDAY(A441,3))</f>
        <v/>
      </c>
      <c r="G441" s="21"/>
      <c r="H441" s="19" t="str">
        <f aca="false">IF(OR(B441="",NOT(ISNUMBER(E441))),"",SUMIFS($E$6:$E$505,$B$6:$B$505,B441,$F$6:$F$505,F441,$A$6:$A$505,"&lt;="&amp;A441))</f>
        <v/>
      </c>
      <c r="I441" s="19" t="str">
        <f aca="false">IF(H441="","",MAX(0,Setup!$B$5-H441))</f>
        <v/>
      </c>
    </row>
    <row r="442" customFormat="false" ht="15" hidden="false" customHeight="false" outlineLevel="0" collapsed="false">
      <c r="A442" s="16"/>
      <c r="B442" s="17"/>
      <c r="C442" s="18"/>
      <c r="D442" s="18"/>
      <c r="E442" s="19" t="str">
        <f aca="false">IF(OR(C442="",D442=""),"",IF(D442&lt;=C442,"Check times",ROUND((D442-C442)*24,2)))</f>
        <v/>
      </c>
      <c r="F442" s="20" t="str">
        <f aca="false">IF(A442="","",A442-WEEKDAY(A442,3))</f>
        <v/>
      </c>
      <c r="G442" s="21"/>
      <c r="H442" s="19" t="str">
        <f aca="false">IF(OR(B442="",NOT(ISNUMBER(E442))),"",SUMIFS($E$6:$E$505,$B$6:$B$505,B442,$F$6:$F$505,F442,$A$6:$A$505,"&lt;="&amp;A442))</f>
        <v/>
      </c>
      <c r="I442" s="19" t="str">
        <f aca="false">IF(H442="","",MAX(0,Setup!$B$5-H442))</f>
        <v/>
      </c>
    </row>
    <row r="443" customFormat="false" ht="15" hidden="false" customHeight="false" outlineLevel="0" collapsed="false">
      <c r="A443" s="16"/>
      <c r="B443" s="17"/>
      <c r="C443" s="18"/>
      <c r="D443" s="18"/>
      <c r="E443" s="19" t="str">
        <f aca="false">IF(OR(C443="",D443=""),"",IF(D443&lt;=C443,"Check times",ROUND((D443-C443)*24,2)))</f>
        <v/>
      </c>
      <c r="F443" s="20" t="str">
        <f aca="false">IF(A443="","",A443-WEEKDAY(A443,3))</f>
        <v/>
      </c>
      <c r="G443" s="21"/>
      <c r="H443" s="19" t="str">
        <f aca="false">IF(OR(B443="",NOT(ISNUMBER(E443))),"",SUMIFS($E$6:$E$505,$B$6:$B$505,B443,$F$6:$F$505,F443,$A$6:$A$505,"&lt;="&amp;A443))</f>
        <v/>
      </c>
      <c r="I443" s="19" t="str">
        <f aca="false">IF(H443="","",MAX(0,Setup!$B$5-H443))</f>
        <v/>
      </c>
    </row>
    <row r="444" customFormat="false" ht="15" hidden="false" customHeight="false" outlineLevel="0" collapsed="false">
      <c r="A444" s="16"/>
      <c r="B444" s="17"/>
      <c r="C444" s="18"/>
      <c r="D444" s="18"/>
      <c r="E444" s="19" t="str">
        <f aca="false">IF(OR(C444="",D444=""),"",IF(D444&lt;=C444,"Check times",ROUND((D444-C444)*24,2)))</f>
        <v/>
      </c>
      <c r="F444" s="20" t="str">
        <f aca="false">IF(A444="","",A444-WEEKDAY(A444,3))</f>
        <v/>
      </c>
      <c r="G444" s="21"/>
      <c r="H444" s="19" t="str">
        <f aca="false">IF(OR(B444="",NOT(ISNUMBER(E444))),"",SUMIFS($E$6:$E$505,$B$6:$B$505,B444,$F$6:$F$505,F444,$A$6:$A$505,"&lt;="&amp;A444))</f>
        <v/>
      </c>
      <c r="I444" s="19" t="str">
        <f aca="false">IF(H444="","",MAX(0,Setup!$B$5-H444))</f>
        <v/>
      </c>
    </row>
    <row r="445" customFormat="false" ht="15" hidden="false" customHeight="false" outlineLevel="0" collapsed="false">
      <c r="A445" s="16"/>
      <c r="B445" s="17"/>
      <c r="C445" s="18"/>
      <c r="D445" s="18"/>
      <c r="E445" s="19" t="str">
        <f aca="false">IF(OR(C445="",D445=""),"",IF(D445&lt;=C445,"Check times",ROUND((D445-C445)*24,2)))</f>
        <v/>
      </c>
      <c r="F445" s="20" t="str">
        <f aca="false">IF(A445="","",A445-WEEKDAY(A445,3))</f>
        <v/>
      </c>
      <c r="G445" s="21"/>
      <c r="H445" s="19" t="str">
        <f aca="false">IF(OR(B445="",NOT(ISNUMBER(E445))),"",SUMIFS($E$6:$E$505,$B$6:$B$505,B445,$F$6:$F$505,F445,$A$6:$A$505,"&lt;="&amp;A445))</f>
        <v/>
      </c>
      <c r="I445" s="19" t="str">
        <f aca="false">IF(H445="","",MAX(0,Setup!$B$5-H445))</f>
        <v/>
      </c>
    </row>
    <row r="446" customFormat="false" ht="15" hidden="false" customHeight="false" outlineLevel="0" collapsed="false">
      <c r="A446" s="16"/>
      <c r="B446" s="17"/>
      <c r="C446" s="18"/>
      <c r="D446" s="18"/>
      <c r="E446" s="19" t="str">
        <f aca="false">IF(OR(C446="",D446=""),"",IF(D446&lt;=C446,"Check times",ROUND((D446-C446)*24,2)))</f>
        <v/>
      </c>
      <c r="F446" s="20" t="str">
        <f aca="false">IF(A446="","",A446-WEEKDAY(A446,3))</f>
        <v/>
      </c>
      <c r="G446" s="21"/>
      <c r="H446" s="19" t="str">
        <f aca="false">IF(OR(B446="",NOT(ISNUMBER(E446))),"",SUMIFS($E$6:$E$505,$B$6:$B$505,B446,$F$6:$F$505,F446,$A$6:$A$505,"&lt;="&amp;A446))</f>
        <v/>
      </c>
      <c r="I446" s="19" t="str">
        <f aca="false">IF(H446="","",MAX(0,Setup!$B$5-H446))</f>
        <v/>
      </c>
    </row>
    <row r="447" customFormat="false" ht="15" hidden="false" customHeight="false" outlineLevel="0" collapsed="false">
      <c r="A447" s="16"/>
      <c r="B447" s="17"/>
      <c r="C447" s="18"/>
      <c r="D447" s="18"/>
      <c r="E447" s="19" t="str">
        <f aca="false">IF(OR(C447="",D447=""),"",IF(D447&lt;=C447,"Check times",ROUND((D447-C447)*24,2)))</f>
        <v/>
      </c>
      <c r="F447" s="20" t="str">
        <f aca="false">IF(A447="","",A447-WEEKDAY(A447,3))</f>
        <v/>
      </c>
      <c r="G447" s="21"/>
      <c r="H447" s="19" t="str">
        <f aca="false">IF(OR(B447="",NOT(ISNUMBER(E447))),"",SUMIFS($E$6:$E$505,$B$6:$B$505,B447,$F$6:$F$505,F447,$A$6:$A$505,"&lt;="&amp;A447))</f>
        <v/>
      </c>
      <c r="I447" s="19" t="str">
        <f aca="false">IF(H447="","",MAX(0,Setup!$B$5-H447))</f>
        <v/>
      </c>
    </row>
    <row r="448" customFormat="false" ht="15" hidden="false" customHeight="false" outlineLevel="0" collapsed="false">
      <c r="A448" s="16"/>
      <c r="B448" s="17"/>
      <c r="C448" s="18"/>
      <c r="D448" s="18"/>
      <c r="E448" s="19" t="str">
        <f aca="false">IF(OR(C448="",D448=""),"",IF(D448&lt;=C448,"Check times",ROUND((D448-C448)*24,2)))</f>
        <v/>
      </c>
      <c r="F448" s="20" t="str">
        <f aca="false">IF(A448="","",A448-WEEKDAY(A448,3))</f>
        <v/>
      </c>
      <c r="G448" s="21"/>
      <c r="H448" s="19" t="str">
        <f aca="false">IF(OR(B448="",NOT(ISNUMBER(E448))),"",SUMIFS($E$6:$E$505,$B$6:$B$505,B448,$F$6:$F$505,F448,$A$6:$A$505,"&lt;="&amp;A448))</f>
        <v/>
      </c>
      <c r="I448" s="19" t="str">
        <f aca="false">IF(H448="","",MAX(0,Setup!$B$5-H448))</f>
        <v/>
      </c>
    </row>
    <row r="449" customFormat="false" ht="15" hidden="false" customHeight="false" outlineLevel="0" collapsed="false">
      <c r="A449" s="16"/>
      <c r="B449" s="17"/>
      <c r="C449" s="18"/>
      <c r="D449" s="18"/>
      <c r="E449" s="19" t="str">
        <f aca="false">IF(OR(C449="",D449=""),"",IF(D449&lt;=C449,"Check times",ROUND((D449-C449)*24,2)))</f>
        <v/>
      </c>
      <c r="F449" s="20" t="str">
        <f aca="false">IF(A449="","",A449-WEEKDAY(A449,3))</f>
        <v/>
      </c>
      <c r="G449" s="21"/>
      <c r="H449" s="19" t="str">
        <f aca="false">IF(OR(B449="",NOT(ISNUMBER(E449))),"",SUMIFS($E$6:$E$505,$B$6:$B$505,B449,$F$6:$F$505,F449,$A$6:$A$505,"&lt;="&amp;A449))</f>
        <v/>
      </c>
      <c r="I449" s="19" t="str">
        <f aca="false">IF(H449="","",MAX(0,Setup!$B$5-H449))</f>
        <v/>
      </c>
    </row>
    <row r="450" customFormat="false" ht="15" hidden="false" customHeight="false" outlineLevel="0" collapsed="false">
      <c r="A450" s="16"/>
      <c r="B450" s="17"/>
      <c r="C450" s="18"/>
      <c r="D450" s="18"/>
      <c r="E450" s="19" t="str">
        <f aca="false">IF(OR(C450="",D450=""),"",IF(D450&lt;=C450,"Check times",ROUND((D450-C450)*24,2)))</f>
        <v/>
      </c>
      <c r="F450" s="20" t="str">
        <f aca="false">IF(A450="","",A450-WEEKDAY(A450,3))</f>
        <v/>
      </c>
      <c r="G450" s="21"/>
      <c r="H450" s="19" t="str">
        <f aca="false">IF(OR(B450="",NOT(ISNUMBER(E450))),"",SUMIFS($E$6:$E$505,$B$6:$B$505,B450,$F$6:$F$505,F450,$A$6:$A$505,"&lt;="&amp;A450))</f>
        <v/>
      </c>
      <c r="I450" s="19" t="str">
        <f aca="false">IF(H450="","",MAX(0,Setup!$B$5-H450))</f>
        <v/>
      </c>
    </row>
    <row r="451" customFormat="false" ht="15" hidden="false" customHeight="false" outlineLevel="0" collapsed="false">
      <c r="A451" s="16"/>
      <c r="B451" s="17"/>
      <c r="C451" s="18"/>
      <c r="D451" s="18"/>
      <c r="E451" s="19" t="str">
        <f aca="false">IF(OR(C451="",D451=""),"",IF(D451&lt;=C451,"Check times",ROUND((D451-C451)*24,2)))</f>
        <v/>
      </c>
      <c r="F451" s="20" t="str">
        <f aca="false">IF(A451="","",A451-WEEKDAY(A451,3))</f>
        <v/>
      </c>
      <c r="G451" s="21"/>
      <c r="H451" s="19" t="str">
        <f aca="false">IF(OR(B451="",NOT(ISNUMBER(E451))),"",SUMIFS($E$6:$E$505,$B$6:$B$505,B451,$F$6:$F$505,F451,$A$6:$A$505,"&lt;="&amp;A451))</f>
        <v/>
      </c>
      <c r="I451" s="19" t="str">
        <f aca="false">IF(H451="","",MAX(0,Setup!$B$5-H451))</f>
        <v/>
      </c>
    </row>
    <row r="452" customFormat="false" ht="15" hidden="false" customHeight="false" outlineLevel="0" collapsed="false">
      <c r="A452" s="16"/>
      <c r="B452" s="17"/>
      <c r="C452" s="18"/>
      <c r="D452" s="18"/>
      <c r="E452" s="19" t="str">
        <f aca="false">IF(OR(C452="",D452=""),"",IF(D452&lt;=C452,"Check times",ROUND((D452-C452)*24,2)))</f>
        <v/>
      </c>
      <c r="F452" s="20" t="str">
        <f aca="false">IF(A452="","",A452-WEEKDAY(A452,3))</f>
        <v/>
      </c>
      <c r="G452" s="21"/>
      <c r="H452" s="19" t="str">
        <f aca="false">IF(OR(B452="",NOT(ISNUMBER(E452))),"",SUMIFS($E$6:$E$505,$B$6:$B$505,B452,$F$6:$F$505,F452,$A$6:$A$505,"&lt;="&amp;A452))</f>
        <v/>
      </c>
      <c r="I452" s="19" t="str">
        <f aca="false">IF(H452="","",MAX(0,Setup!$B$5-H452))</f>
        <v/>
      </c>
    </row>
    <row r="453" customFormat="false" ht="15" hidden="false" customHeight="false" outlineLevel="0" collapsed="false">
      <c r="A453" s="16"/>
      <c r="B453" s="17"/>
      <c r="C453" s="18"/>
      <c r="D453" s="18"/>
      <c r="E453" s="19" t="str">
        <f aca="false">IF(OR(C453="",D453=""),"",IF(D453&lt;=C453,"Check times",ROUND((D453-C453)*24,2)))</f>
        <v/>
      </c>
      <c r="F453" s="20" t="str">
        <f aca="false">IF(A453="","",A453-WEEKDAY(A453,3))</f>
        <v/>
      </c>
      <c r="G453" s="21"/>
      <c r="H453" s="19" t="str">
        <f aca="false">IF(OR(B453="",NOT(ISNUMBER(E453))),"",SUMIFS($E$6:$E$505,$B$6:$B$505,B453,$F$6:$F$505,F453,$A$6:$A$505,"&lt;="&amp;A453))</f>
        <v/>
      </c>
      <c r="I453" s="19" t="str">
        <f aca="false">IF(H453="","",MAX(0,Setup!$B$5-H453))</f>
        <v/>
      </c>
    </row>
    <row r="454" customFormat="false" ht="15" hidden="false" customHeight="false" outlineLevel="0" collapsed="false">
      <c r="A454" s="16"/>
      <c r="B454" s="17"/>
      <c r="C454" s="18"/>
      <c r="D454" s="18"/>
      <c r="E454" s="19" t="str">
        <f aca="false">IF(OR(C454="",D454=""),"",IF(D454&lt;=C454,"Check times",ROUND((D454-C454)*24,2)))</f>
        <v/>
      </c>
      <c r="F454" s="20" t="str">
        <f aca="false">IF(A454="","",A454-WEEKDAY(A454,3))</f>
        <v/>
      </c>
      <c r="G454" s="21"/>
      <c r="H454" s="19" t="str">
        <f aca="false">IF(OR(B454="",NOT(ISNUMBER(E454))),"",SUMIFS($E$6:$E$505,$B$6:$B$505,B454,$F$6:$F$505,F454,$A$6:$A$505,"&lt;="&amp;A454))</f>
        <v/>
      </c>
      <c r="I454" s="19" t="str">
        <f aca="false">IF(H454="","",MAX(0,Setup!$B$5-H454))</f>
        <v/>
      </c>
    </row>
    <row r="455" customFormat="false" ht="15" hidden="false" customHeight="false" outlineLevel="0" collapsed="false">
      <c r="A455" s="16"/>
      <c r="B455" s="17"/>
      <c r="C455" s="18"/>
      <c r="D455" s="18"/>
      <c r="E455" s="19" t="str">
        <f aca="false">IF(OR(C455="",D455=""),"",IF(D455&lt;=C455,"Check times",ROUND((D455-C455)*24,2)))</f>
        <v/>
      </c>
      <c r="F455" s="20" t="str">
        <f aca="false">IF(A455="","",A455-WEEKDAY(A455,3))</f>
        <v/>
      </c>
      <c r="G455" s="21"/>
      <c r="H455" s="19" t="str">
        <f aca="false">IF(OR(B455="",NOT(ISNUMBER(E455))),"",SUMIFS($E$6:$E$505,$B$6:$B$505,B455,$F$6:$F$505,F455,$A$6:$A$505,"&lt;="&amp;A455))</f>
        <v/>
      </c>
      <c r="I455" s="19" t="str">
        <f aca="false">IF(H455="","",MAX(0,Setup!$B$5-H455))</f>
        <v/>
      </c>
    </row>
    <row r="456" customFormat="false" ht="15" hidden="false" customHeight="false" outlineLevel="0" collapsed="false">
      <c r="A456" s="16"/>
      <c r="B456" s="17"/>
      <c r="C456" s="18"/>
      <c r="D456" s="18"/>
      <c r="E456" s="19" t="str">
        <f aca="false">IF(OR(C456="",D456=""),"",IF(D456&lt;=C456,"Check times",ROUND((D456-C456)*24,2)))</f>
        <v/>
      </c>
      <c r="F456" s="20" t="str">
        <f aca="false">IF(A456="","",A456-WEEKDAY(A456,3))</f>
        <v/>
      </c>
      <c r="G456" s="21"/>
      <c r="H456" s="19" t="str">
        <f aca="false">IF(OR(B456="",NOT(ISNUMBER(E456))),"",SUMIFS($E$6:$E$505,$B$6:$B$505,B456,$F$6:$F$505,F456,$A$6:$A$505,"&lt;="&amp;A456))</f>
        <v/>
      </c>
      <c r="I456" s="19" t="str">
        <f aca="false">IF(H456="","",MAX(0,Setup!$B$5-H456))</f>
        <v/>
      </c>
    </row>
    <row r="457" customFormat="false" ht="15" hidden="false" customHeight="false" outlineLevel="0" collapsed="false">
      <c r="A457" s="16"/>
      <c r="B457" s="17"/>
      <c r="C457" s="18"/>
      <c r="D457" s="18"/>
      <c r="E457" s="19" t="str">
        <f aca="false">IF(OR(C457="",D457=""),"",IF(D457&lt;=C457,"Check times",ROUND((D457-C457)*24,2)))</f>
        <v/>
      </c>
      <c r="F457" s="20" t="str">
        <f aca="false">IF(A457="","",A457-WEEKDAY(A457,3))</f>
        <v/>
      </c>
      <c r="G457" s="21"/>
      <c r="H457" s="19" t="str">
        <f aca="false">IF(OR(B457="",NOT(ISNUMBER(E457))),"",SUMIFS($E$6:$E$505,$B$6:$B$505,B457,$F$6:$F$505,F457,$A$6:$A$505,"&lt;="&amp;A457))</f>
        <v/>
      </c>
      <c r="I457" s="19" t="str">
        <f aca="false">IF(H457="","",MAX(0,Setup!$B$5-H457))</f>
        <v/>
      </c>
    </row>
    <row r="458" customFormat="false" ht="15" hidden="false" customHeight="false" outlineLevel="0" collapsed="false">
      <c r="A458" s="16"/>
      <c r="B458" s="17"/>
      <c r="C458" s="18"/>
      <c r="D458" s="18"/>
      <c r="E458" s="19" t="str">
        <f aca="false">IF(OR(C458="",D458=""),"",IF(D458&lt;=C458,"Check times",ROUND((D458-C458)*24,2)))</f>
        <v/>
      </c>
      <c r="F458" s="20" t="str">
        <f aca="false">IF(A458="","",A458-WEEKDAY(A458,3))</f>
        <v/>
      </c>
      <c r="G458" s="21"/>
      <c r="H458" s="19" t="str">
        <f aca="false">IF(OR(B458="",NOT(ISNUMBER(E458))),"",SUMIFS($E$6:$E$505,$B$6:$B$505,B458,$F$6:$F$505,F458,$A$6:$A$505,"&lt;="&amp;A458))</f>
        <v/>
      </c>
      <c r="I458" s="19" t="str">
        <f aca="false">IF(H458="","",MAX(0,Setup!$B$5-H458))</f>
        <v/>
      </c>
    </row>
    <row r="459" customFormat="false" ht="15" hidden="false" customHeight="false" outlineLevel="0" collapsed="false">
      <c r="A459" s="16"/>
      <c r="B459" s="17"/>
      <c r="C459" s="18"/>
      <c r="D459" s="18"/>
      <c r="E459" s="19" t="str">
        <f aca="false">IF(OR(C459="",D459=""),"",IF(D459&lt;=C459,"Check times",ROUND((D459-C459)*24,2)))</f>
        <v/>
      </c>
      <c r="F459" s="20" t="str">
        <f aca="false">IF(A459="","",A459-WEEKDAY(A459,3))</f>
        <v/>
      </c>
      <c r="G459" s="21"/>
      <c r="H459" s="19" t="str">
        <f aca="false">IF(OR(B459="",NOT(ISNUMBER(E459))),"",SUMIFS($E$6:$E$505,$B$6:$B$505,B459,$F$6:$F$505,F459,$A$6:$A$505,"&lt;="&amp;A459))</f>
        <v/>
      </c>
      <c r="I459" s="19" t="str">
        <f aca="false">IF(H459="","",MAX(0,Setup!$B$5-H459))</f>
        <v/>
      </c>
    </row>
    <row r="460" customFormat="false" ht="15" hidden="false" customHeight="false" outlineLevel="0" collapsed="false">
      <c r="A460" s="16"/>
      <c r="B460" s="17"/>
      <c r="C460" s="18"/>
      <c r="D460" s="18"/>
      <c r="E460" s="19" t="str">
        <f aca="false">IF(OR(C460="",D460=""),"",IF(D460&lt;=C460,"Check times",ROUND((D460-C460)*24,2)))</f>
        <v/>
      </c>
      <c r="F460" s="20" t="str">
        <f aca="false">IF(A460="","",A460-WEEKDAY(A460,3))</f>
        <v/>
      </c>
      <c r="G460" s="21"/>
      <c r="H460" s="19" t="str">
        <f aca="false">IF(OR(B460="",NOT(ISNUMBER(E460))),"",SUMIFS($E$6:$E$505,$B$6:$B$505,B460,$F$6:$F$505,F460,$A$6:$A$505,"&lt;="&amp;A460))</f>
        <v/>
      </c>
      <c r="I460" s="19" t="str">
        <f aca="false">IF(H460="","",MAX(0,Setup!$B$5-H460))</f>
        <v/>
      </c>
    </row>
    <row r="461" customFormat="false" ht="15" hidden="false" customHeight="false" outlineLevel="0" collapsed="false">
      <c r="A461" s="16"/>
      <c r="B461" s="17"/>
      <c r="C461" s="18"/>
      <c r="D461" s="18"/>
      <c r="E461" s="19" t="str">
        <f aca="false">IF(OR(C461="",D461=""),"",IF(D461&lt;=C461,"Check times",ROUND((D461-C461)*24,2)))</f>
        <v/>
      </c>
      <c r="F461" s="20" t="str">
        <f aca="false">IF(A461="","",A461-WEEKDAY(A461,3))</f>
        <v/>
      </c>
      <c r="G461" s="21"/>
      <c r="H461" s="19" t="str">
        <f aca="false">IF(OR(B461="",NOT(ISNUMBER(E461))),"",SUMIFS($E$6:$E$505,$B$6:$B$505,B461,$F$6:$F$505,F461,$A$6:$A$505,"&lt;="&amp;A461))</f>
        <v/>
      </c>
      <c r="I461" s="19" t="str">
        <f aca="false">IF(H461="","",MAX(0,Setup!$B$5-H461))</f>
        <v/>
      </c>
    </row>
    <row r="462" customFormat="false" ht="15" hidden="false" customHeight="false" outlineLevel="0" collapsed="false">
      <c r="A462" s="16"/>
      <c r="B462" s="17"/>
      <c r="C462" s="18"/>
      <c r="D462" s="18"/>
      <c r="E462" s="19" t="str">
        <f aca="false">IF(OR(C462="",D462=""),"",IF(D462&lt;=C462,"Check times",ROUND((D462-C462)*24,2)))</f>
        <v/>
      </c>
      <c r="F462" s="20" t="str">
        <f aca="false">IF(A462="","",A462-WEEKDAY(A462,3))</f>
        <v/>
      </c>
      <c r="G462" s="21"/>
      <c r="H462" s="19" t="str">
        <f aca="false">IF(OR(B462="",NOT(ISNUMBER(E462))),"",SUMIFS($E$6:$E$505,$B$6:$B$505,B462,$F$6:$F$505,F462,$A$6:$A$505,"&lt;="&amp;A462))</f>
        <v/>
      </c>
      <c r="I462" s="19" t="str">
        <f aca="false">IF(H462="","",MAX(0,Setup!$B$5-H462))</f>
        <v/>
      </c>
    </row>
    <row r="463" customFormat="false" ht="15" hidden="false" customHeight="false" outlineLevel="0" collapsed="false">
      <c r="A463" s="16"/>
      <c r="B463" s="17"/>
      <c r="C463" s="18"/>
      <c r="D463" s="18"/>
      <c r="E463" s="19" t="str">
        <f aca="false">IF(OR(C463="",D463=""),"",IF(D463&lt;=C463,"Check times",ROUND((D463-C463)*24,2)))</f>
        <v/>
      </c>
      <c r="F463" s="20" t="str">
        <f aca="false">IF(A463="","",A463-WEEKDAY(A463,3))</f>
        <v/>
      </c>
      <c r="G463" s="21"/>
      <c r="H463" s="19" t="str">
        <f aca="false">IF(OR(B463="",NOT(ISNUMBER(E463))),"",SUMIFS($E$6:$E$505,$B$6:$B$505,B463,$F$6:$F$505,F463,$A$6:$A$505,"&lt;="&amp;A463))</f>
        <v/>
      </c>
      <c r="I463" s="19" t="str">
        <f aca="false">IF(H463="","",MAX(0,Setup!$B$5-H463))</f>
        <v/>
      </c>
    </row>
    <row r="464" customFormat="false" ht="15" hidden="false" customHeight="false" outlineLevel="0" collapsed="false">
      <c r="A464" s="16"/>
      <c r="B464" s="17"/>
      <c r="C464" s="18"/>
      <c r="D464" s="18"/>
      <c r="E464" s="19" t="str">
        <f aca="false">IF(OR(C464="",D464=""),"",IF(D464&lt;=C464,"Check times",ROUND((D464-C464)*24,2)))</f>
        <v/>
      </c>
      <c r="F464" s="20" t="str">
        <f aca="false">IF(A464="","",A464-WEEKDAY(A464,3))</f>
        <v/>
      </c>
      <c r="G464" s="21"/>
      <c r="H464" s="19" t="str">
        <f aca="false">IF(OR(B464="",NOT(ISNUMBER(E464))),"",SUMIFS($E$6:$E$505,$B$6:$B$505,B464,$F$6:$F$505,F464,$A$6:$A$505,"&lt;="&amp;A464))</f>
        <v/>
      </c>
      <c r="I464" s="19" t="str">
        <f aca="false">IF(H464="","",MAX(0,Setup!$B$5-H464))</f>
        <v/>
      </c>
    </row>
    <row r="465" customFormat="false" ht="15" hidden="false" customHeight="false" outlineLevel="0" collapsed="false">
      <c r="A465" s="16"/>
      <c r="B465" s="17"/>
      <c r="C465" s="18"/>
      <c r="D465" s="18"/>
      <c r="E465" s="19" t="str">
        <f aca="false">IF(OR(C465="",D465=""),"",IF(D465&lt;=C465,"Check times",ROUND((D465-C465)*24,2)))</f>
        <v/>
      </c>
      <c r="F465" s="20" t="str">
        <f aca="false">IF(A465="","",A465-WEEKDAY(A465,3))</f>
        <v/>
      </c>
      <c r="G465" s="21"/>
      <c r="H465" s="19" t="str">
        <f aca="false">IF(OR(B465="",NOT(ISNUMBER(E465))),"",SUMIFS($E$6:$E$505,$B$6:$B$505,B465,$F$6:$F$505,F465,$A$6:$A$505,"&lt;="&amp;A465))</f>
        <v/>
      </c>
      <c r="I465" s="19" t="str">
        <f aca="false">IF(H465="","",MAX(0,Setup!$B$5-H465))</f>
        <v/>
      </c>
    </row>
    <row r="466" customFormat="false" ht="15" hidden="false" customHeight="false" outlineLevel="0" collapsed="false">
      <c r="A466" s="16"/>
      <c r="B466" s="17"/>
      <c r="C466" s="18"/>
      <c r="D466" s="18"/>
      <c r="E466" s="19" t="str">
        <f aca="false">IF(OR(C466="",D466=""),"",IF(D466&lt;=C466,"Check times",ROUND((D466-C466)*24,2)))</f>
        <v/>
      </c>
      <c r="F466" s="20" t="str">
        <f aca="false">IF(A466="","",A466-WEEKDAY(A466,3))</f>
        <v/>
      </c>
      <c r="G466" s="21"/>
      <c r="H466" s="19" t="str">
        <f aca="false">IF(OR(B466="",NOT(ISNUMBER(E466))),"",SUMIFS($E$6:$E$505,$B$6:$B$505,B466,$F$6:$F$505,F466,$A$6:$A$505,"&lt;="&amp;A466))</f>
        <v/>
      </c>
      <c r="I466" s="19" t="str">
        <f aca="false">IF(H466="","",MAX(0,Setup!$B$5-H466))</f>
        <v/>
      </c>
    </row>
    <row r="467" customFormat="false" ht="15" hidden="false" customHeight="false" outlineLevel="0" collapsed="false">
      <c r="A467" s="16"/>
      <c r="B467" s="17"/>
      <c r="C467" s="18"/>
      <c r="D467" s="18"/>
      <c r="E467" s="19" t="str">
        <f aca="false">IF(OR(C467="",D467=""),"",IF(D467&lt;=C467,"Check times",ROUND((D467-C467)*24,2)))</f>
        <v/>
      </c>
      <c r="F467" s="20" t="str">
        <f aca="false">IF(A467="","",A467-WEEKDAY(A467,3))</f>
        <v/>
      </c>
      <c r="G467" s="21"/>
      <c r="H467" s="19" t="str">
        <f aca="false">IF(OR(B467="",NOT(ISNUMBER(E467))),"",SUMIFS($E$6:$E$505,$B$6:$B$505,B467,$F$6:$F$505,F467,$A$6:$A$505,"&lt;="&amp;A467))</f>
        <v/>
      </c>
      <c r="I467" s="19" t="str">
        <f aca="false">IF(H467="","",MAX(0,Setup!$B$5-H467))</f>
        <v/>
      </c>
    </row>
    <row r="468" customFormat="false" ht="15" hidden="false" customHeight="false" outlineLevel="0" collapsed="false">
      <c r="A468" s="16"/>
      <c r="B468" s="17"/>
      <c r="C468" s="18"/>
      <c r="D468" s="18"/>
      <c r="E468" s="19" t="str">
        <f aca="false">IF(OR(C468="",D468=""),"",IF(D468&lt;=C468,"Check times",ROUND((D468-C468)*24,2)))</f>
        <v/>
      </c>
      <c r="F468" s="20" t="str">
        <f aca="false">IF(A468="","",A468-WEEKDAY(A468,3))</f>
        <v/>
      </c>
      <c r="G468" s="21"/>
      <c r="H468" s="19" t="str">
        <f aca="false">IF(OR(B468="",NOT(ISNUMBER(E468))),"",SUMIFS($E$6:$E$505,$B$6:$B$505,B468,$F$6:$F$505,F468,$A$6:$A$505,"&lt;="&amp;A468))</f>
        <v/>
      </c>
      <c r="I468" s="19" t="str">
        <f aca="false">IF(H468="","",MAX(0,Setup!$B$5-H468))</f>
        <v/>
      </c>
    </row>
    <row r="469" customFormat="false" ht="15" hidden="false" customHeight="false" outlineLevel="0" collapsed="false">
      <c r="A469" s="16"/>
      <c r="B469" s="17"/>
      <c r="C469" s="18"/>
      <c r="D469" s="18"/>
      <c r="E469" s="19" t="str">
        <f aca="false">IF(OR(C469="",D469=""),"",IF(D469&lt;=C469,"Check times",ROUND((D469-C469)*24,2)))</f>
        <v/>
      </c>
      <c r="F469" s="20" t="str">
        <f aca="false">IF(A469="","",A469-WEEKDAY(A469,3))</f>
        <v/>
      </c>
      <c r="G469" s="21"/>
      <c r="H469" s="19" t="str">
        <f aca="false">IF(OR(B469="",NOT(ISNUMBER(E469))),"",SUMIFS($E$6:$E$505,$B$6:$B$505,B469,$F$6:$F$505,F469,$A$6:$A$505,"&lt;="&amp;A469))</f>
        <v/>
      </c>
      <c r="I469" s="19" t="str">
        <f aca="false">IF(H469="","",MAX(0,Setup!$B$5-H469))</f>
        <v/>
      </c>
    </row>
    <row r="470" customFormat="false" ht="15" hidden="false" customHeight="false" outlineLevel="0" collapsed="false">
      <c r="A470" s="16"/>
      <c r="B470" s="17"/>
      <c r="C470" s="18"/>
      <c r="D470" s="18"/>
      <c r="E470" s="19" t="str">
        <f aca="false">IF(OR(C470="",D470=""),"",IF(D470&lt;=C470,"Check times",ROUND((D470-C470)*24,2)))</f>
        <v/>
      </c>
      <c r="F470" s="20" t="str">
        <f aca="false">IF(A470="","",A470-WEEKDAY(A470,3))</f>
        <v/>
      </c>
      <c r="G470" s="21"/>
      <c r="H470" s="19" t="str">
        <f aca="false">IF(OR(B470="",NOT(ISNUMBER(E470))),"",SUMIFS($E$6:$E$505,$B$6:$B$505,B470,$F$6:$F$505,F470,$A$6:$A$505,"&lt;="&amp;A470))</f>
        <v/>
      </c>
      <c r="I470" s="19" t="str">
        <f aca="false">IF(H470="","",MAX(0,Setup!$B$5-H470))</f>
        <v/>
      </c>
    </row>
    <row r="471" customFormat="false" ht="15" hidden="false" customHeight="false" outlineLevel="0" collapsed="false">
      <c r="A471" s="16"/>
      <c r="B471" s="17"/>
      <c r="C471" s="18"/>
      <c r="D471" s="18"/>
      <c r="E471" s="19" t="str">
        <f aca="false">IF(OR(C471="",D471=""),"",IF(D471&lt;=C471,"Check times",ROUND((D471-C471)*24,2)))</f>
        <v/>
      </c>
      <c r="F471" s="20" t="str">
        <f aca="false">IF(A471="","",A471-WEEKDAY(A471,3))</f>
        <v/>
      </c>
      <c r="G471" s="21"/>
      <c r="H471" s="19" t="str">
        <f aca="false">IF(OR(B471="",NOT(ISNUMBER(E471))),"",SUMIFS($E$6:$E$505,$B$6:$B$505,B471,$F$6:$F$505,F471,$A$6:$A$505,"&lt;="&amp;A471))</f>
        <v/>
      </c>
      <c r="I471" s="19" t="str">
        <f aca="false">IF(H471="","",MAX(0,Setup!$B$5-H471))</f>
        <v/>
      </c>
    </row>
    <row r="472" customFormat="false" ht="15" hidden="false" customHeight="false" outlineLevel="0" collapsed="false">
      <c r="A472" s="16"/>
      <c r="B472" s="17"/>
      <c r="C472" s="18"/>
      <c r="D472" s="18"/>
      <c r="E472" s="19" t="str">
        <f aca="false">IF(OR(C472="",D472=""),"",IF(D472&lt;=C472,"Check times",ROUND((D472-C472)*24,2)))</f>
        <v/>
      </c>
      <c r="F472" s="20" t="str">
        <f aca="false">IF(A472="","",A472-WEEKDAY(A472,3))</f>
        <v/>
      </c>
      <c r="G472" s="21"/>
      <c r="H472" s="19" t="str">
        <f aca="false">IF(OR(B472="",NOT(ISNUMBER(E472))),"",SUMIFS($E$6:$E$505,$B$6:$B$505,B472,$F$6:$F$505,F472,$A$6:$A$505,"&lt;="&amp;A472))</f>
        <v/>
      </c>
      <c r="I472" s="19" t="str">
        <f aca="false">IF(H472="","",MAX(0,Setup!$B$5-H472))</f>
        <v/>
      </c>
    </row>
    <row r="473" customFormat="false" ht="15" hidden="false" customHeight="false" outlineLevel="0" collapsed="false">
      <c r="A473" s="16"/>
      <c r="B473" s="17"/>
      <c r="C473" s="18"/>
      <c r="D473" s="18"/>
      <c r="E473" s="19" t="str">
        <f aca="false">IF(OR(C473="",D473=""),"",IF(D473&lt;=C473,"Check times",ROUND((D473-C473)*24,2)))</f>
        <v/>
      </c>
      <c r="F473" s="20" t="str">
        <f aca="false">IF(A473="","",A473-WEEKDAY(A473,3))</f>
        <v/>
      </c>
      <c r="G473" s="21"/>
      <c r="H473" s="19" t="str">
        <f aca="false">IF(OR(B473="",NOT(ISNUMBER(E473))),"",SUMIFS($E$6:$E$505,$B$6:$B$505,B473,$F$6:$F$505,F473,$A$6:$A$505,"&lt;="&amp;A473))</f>
        <v/>
      </c>
      <c r="I473" s="19" t="str">
        <f aca="false">IF(H473="","",MAX(0,Setup!$B$5-H473))</f>
        <v/>
      </c>
    </row>
    <row r="474" customFormat="false" ht="15" hidden="false" customHeight="false" outlineLevel="0" collapsed="false">
      <c r="A474" s="16"/>
      <c r="B474" s="17"/>
      <c r="C474" s="18"/>
      <c r="D474" s="18"/>
      <c r="E474" s="19" t="str">
        <f aca="false">IF(OR(C474="",D474=""),"",IF(D474&lt;=C474,"Check times",ROUND((D474-C474)*24,2)))</f>
        <v/>
      </c>
      <c r="F474" s="20" t="str">
        <f aca="false">IF(A474="","",A474-WEEKDAY(A474,3))</f>
        <v/>
      </c>
      <c r="G474" s="21"/>
      <c r="H474" s="19" t="str">
        <f aca="false">IF(OR(B474="",NOT(ISNUMBER(E474))),"",SUMIFS($E$6:$E$505,$B$6:$B$505,B474,$F$6:$F$505,F474,$A$6:$A$505,"&lt;="&amp;A474))</f>
        <v/>
      </c>
      <c r="I474" s="19" t="str">
        <f aca="false">IF(H474="","",MAX(0,Setup!$B$5-H474))</f>
        <v/>
      </c>
    </row>
    <row r="475" customFormat="false" ht="15" hidden="false" customHeight="false" outlineLevel="0" collapsed="false">
      <c r="A475" s="16"/>
      <c r="B475" s="17"/>
      <c r="C475" s="18"/>
      <c r="D475" s="18"/>
      <c r="E475" s="19" t="str">
        <f aca="false">IF(OR(C475="",D475=""),"",IF(D475&lt;=C475,"Check times",ROUND((D475-C475)*24,2)))</f>
        <v/>
      </c>
      <c r="F475" s="20" t="str">
        <f aca="false">IF(A475="","",A475-WEEKDAY(A475,3))</f>
        <v/>
      </c>
      <c r="G475" s="21"/>
      <c r="H475" s="19" t="str">
        <f aca="false">IF(OR(B475="",NOT(ISNUMBER(E475))),"",SUMIFS($E$6:$E$505,$B$6:$B$505,B475,$F$6:$F$505,F475,$A$6:$A$505,"&lt;="&amp;A475))</f>
        <v/>
      </c>
      <c r="I475" s="19" t="str">
        <f aca="false">IF(H475="","",MAX(0,Setup!$B$5-H475))</f>
        <v/>
      </c>
    </row>
    <row r="476" customFormat="false" ht="15" hidden="false" customHeight="false" outlineLevel="0" collapsed="false">
      <c r="A476" s="16"/>
      <c r="B476" s="17"/>
      <c r="C476" s="18"/>
      <c r="D476" s="18"/>
      <c r="E476" s="19" t="str">
        <f aca="false">IF(OR(C476="",D476=""),"",IF(D476&lt;=C476,"Check times",ROUND((D476-C476)*24,2)))</f>
        <v/>
      </c>
      <c r="F476" s="20" t="str">
        <f aca="false">IF(A476="","",A476-WEEKDAY(A476,3))</f>
        <v/>
      </c>
      <c r="G476" s="21"/>
      <c r="H476" s="19" t="str">
        <f aca="false">IF(OR(B476="",NOT(ISNUMBER(E476))),"",SUMIFS($E$6:$E$505,$B$6:$B$505,B476,$F$6:$F$505,F476,$A$6:$A$505,"&lt;="&amp;A476))</f>
        <v/>
      </c>
      <c r="I476" s="19" t="str">
        <f aca="false">IF(H476="","",MAX(0,Setup!$B$5-H476))</f>
        <v/>
      </c>
    </row>
    <row r="477" customFormat="false" ht="15" hidden="false" customHeight="false" outlineLevel="0" collapsed="false">
      <c r="A477" s="16"/>
      <c r="B477" s="17"/>
      <c r="C477" s="18"/>
      <c r="D477" s="18"/>
      <c r="E477" s="19" t="str">
        <f aca="false">IF(OR(C477="",D477=""),"",IF(D477&lt;=C477,"Check times",ROUND((D477-C477)*24,2)))</f>
        <v/>
      </c>
      <c r="F477" s="20" t="str">
        <f aca="false">IF(A477="","",A477-WEEKDAY(A477,3))</f>
        <v/>
      </c>
      <c r="G477" s="21"/>
      <c r="H477" s="19" t="str">
        <f aca="false">IF(OR(B477="",NOT(ISNUMBER(E477))),"",SUMIFS($E$6:$E$505,$B$6:$B$505,B477,$F$6:$F$505,F477,$A$6:$A$505,"&lt;="&amp;A477))</f>
        <v/>
      </c>
      <c r="I477" s="19" t="str">
        <f aca="false">IF(H477="","",MAX(0,Setup!$B$5-H477))</f>
        <v/>
      </c>
    </row>
    <row r="478" customFormat="false" ht="15" hidden="false" customHeight="false" outlineLevel="0" collapsed="false">
      <c r="A478" s="16"/>
      <c r="B478" s="17"/>
      <c r="C478" s="18"/>
      <c r="D478" s="18"/>
      <c r="E478" s="19" t="str">
        <f aca="false">IF(OR(C478="",D478=""),"",IF(D478&lt;=C478,"Check times",ROUND((D478-C478)*24,2)))</f>
        <v/>
      </c>
      <c r="F478" s="20" t="str">
        <f aca="false">IF(A478="","",A478-WEEKDAY(A478,3))</f>
        <v/>
      </c>
      <c r="G478" s="21"/>
      <c r="H478" s="19" t="str">
        <f aca="false">IF(OR(B478="",NOT(ISNUMBER(E478))),"",SUMIFS($E$6:$E$505,$B$6:$B$505,B478,$F$6:$F$505,F478,$A$6:$A$505,"&lt;="&amp;A478))</f>
        <v/>
      </c>
      <c r="I478" s="19" t="str">
        <f aca="false">IF(H478="","",MAX(0,Setup!$B$5-H478))</f>
        <v/>
      </c>
    </row>
    <row r="479" customFormat="false" ht="15" hidden="false" customHeight="false" outlineLevel="0" collapsed="false">
      <c r="A479" s="16"/>
      <c r="B479" s="17"/>
      <c r="C479" s="18"/>
      <c r="D479" s="18"/>
      <c r="E479" s="19" t="str">
        <f aca="false">IF(OR(C479="",D479=""),"",IF(D479&lt;=C479,"Check times",ROUND((D479-C479)*24,2)))</f>
        <v/>
      </c>
      <c r="F479" s="20" t="str">
        <f aca="false">IF(A479="","",A479-WEEKDAY(A479,3))</f>
        <v/>
      </c>
      <c r="G479" s="21"/>
      <c r="H479" s="19" t="str">
        <f aca="false">IF(OR(B479="",NOT(ISNUMBER(E479))),"",SUMIFS($E$6:$E$505,$B$6:$B$505,B479,$F$6:$F$505,F479,$A$6:$A$505,"&lt;="&amp;A479))</f>
        <v/>
      </c>
      <c r="I479" s="19" t="str">
        <f aca="false">IF(H479="","",MAX(0,Setup!$B$5-H479))</f>
        <v/>
      </c>
    </row>
    <row r="480" customFormat="false" ht="15" hidden="false" customHeight="false" outlineLevel="0" collapsed="false">
      <c r="A480" s="16"/>
      <c r="B480" s="17"/>
      <c r="C480" s="18"/>
      <c r="D480" s="18"/>
      <c r="E480" s="19" t="str">
        <f aca="false">IF(OR(C480="",D480=""),"",IF(D480&lt;=C480,"Check times",ROUND((D480-C480)*24,2)))</f>
        <v/>
      </c>
      <c r="F480" s="20" t="str">
        <f aca="false">IF(A480="","",A480-WEEKDAY(A480,3))</f>
        <v/>
      </c>
      <c r="G480" s="21"/>
      <c r="H480" s="19" t="str">
        <f aca="false">IF(OR(B480="",NOT(ISNUMBER(E480))),"",SUMIFS($E$6:$E$505,$B$6:$B$505,B480,$F$6:$F$505,F480,$A$6:$A$505,"&lt;="&amp;A480))</f>
        <v/>
      </c>
      <c r="I480" s="19" t="str">
        <f aca="false">IF(H480="","",MAX(0,Setup!$B$5-H480))</f>
        <v/>
      </c>
    </row>
    <row r="481" customFormat="false" ht="15" hidden="false" customHeight="false" outlineLevel="0" collapsed="false">
      <c r="A481" s="16"/>
      <c r="B481" s="17"/>
      <c r="C481" s="18"/>
      <c r="D481" s="18"/>
      <c r="E481" s="19" t="str">
        <f aca="false">IF(OR(C481="",D481=""),"",IF(D481&lt;=C481,"Check times",ROUND((D481-C481)*24,2)))</f>
        <v/>
      </c>
      <c r="F481" s="20" t="str">
        <f aca="false">IF(A481="","",A481-WEEKDAY(A481,3))</f>
        <v/>
      </c>
      <c r="G481" s="21"/>
      <c r="H481" s="19" t="str">
        <f aca="false">IF(OR(B481="",NOT(ISNUMBER(E481))),"",SUMIFS($E$6:$E$505,$B$6:$B$505,B481,$F$6:$F$505,F481,$A$6:$A$505,"&lt;="&amp;A481))</f>
        <v/>
      </c>
      <c r="I481" s="19" t="str">
        <f aca="false">IF(H481="","",MAX(0,Setup!$B$5-H481))</f>
        <v/>
      </c>
    </row>
    <row r="482" customFormat="false" ht="15" hidden="false" customHeight="false" outlineLevel="0" collapsed="false">
      <c r="A482" s="16"/>
      <c r="B482" s="17"/>
      <c r="C482" s="18"/>
      <c r="D482" s="18"/>
      <c r="E482" s="19" t="str">
        <f aca="false">IF(OR(C482="",D482=""),"",IF(D482&lt;=C482,"Check times",ROUND((D482-C482)*24,2)))</f>
        <v/>
      </c>
      <c r="F482" s="20" t="str">
        <f aca="false">IF(A482="","",A482-WEEKDAY(A482,3))</f>
        <v/>
      </c>
      <c r="G482" s="21"/>
      <c r="H482" s="19" t="str">
        <f aca="false">IF(OR(B482="",NOT(ISNUMBER(E482))),"",SUMIFS($E$6:$E$505,$B$6:$B$505,B482,$F$6:$F$505,F482,$A$6:$A$505,"&lt;="&amp;A482))</f>
        <v/>
      </c>
      <c r="I482" s="19" t="str">
        <f aca="false">IF(H482="","",MAX(0,Setup!$B$5-H482))</f>
        <v/>
      </c>
    </row>
    <row r="483" customFormat="false" ht="15" hidden="false" customHeight="false" outlineLevel="0" collapsed="false">
      <c r="A483" s="16"/>
      <c r="B483" s="17"/>
      <c r="C483" s="18"/>
      <c r="D483" s="18"/>
      <c r="E483" s="19" t="str">
        <f aca="false">IF(OR(C483="",D483=""),"",IF(D483&lt;=C483,"Check times",ROUND((D483-C483)*24,2)))</f>
        <v/>
      </c>
      <c r="F483" s="20" t="str">
        <f aca="false">IF(A483="","",A483-WEEKDAY(A483,3))</f>
        <v/>
      </c>
      <c r="G483" s="21"/>
      <c r="H483" s="19" t="str">
        <f aca="false">IF(OR(B483="",NOT(ISNUMBER(E483))),"",SUMIFS($E$6:$E$505,$B$6:$B$505,B483,$F$6:$F$505,F483,$A$6:$A$505,"&lt;="&amp;A483))</f>
        <v/>
      </c>
      <c r="I483" s="19" t="str">
        <f aca="false">IF(H483="","",MAX(0,Setup!$B$5-H483))</f>
        <v/>
      </c>
    </row>
    <row r="484" customFormat="false" ht="15" hidden="false" customHeight="false" outlineLevel="0" collapsed="false">
      <c r="A484" s="16"/>
      <c r="B484" s="17"/>
      <c r="C484" s="18"/>
      <c r="D484" s="18"/>
      <c r="E484" s="19" t="str">
        <f aca="false">IF(OR(C484="",D484=""),"",IF(D484&lt;=C484,"Check times",ROUND((D484-C484)*24,2)))</f>
        <v/>
      </c>
      <c r="F484" s="20" t="str">
        <f aca="false">IF(A484="","",A484-WEEKDAY(A484,3))</f>
        <v/>
      </c>
      <c r="G484" s="21"/>
      <c r="H484" s="19" t="str">
        <f aca="false">IF(OR(B484="",NOT(ISNUMBER(E484))),"",SUMIFS($E$6:$E$505,$B$6:$B$505,B484,$F$6:$F$505,F484,$A$6:$A$505,"&lt;="&amp;A484))</f>
        <v/>
      </c>
      <c r="I484" s="19" t="str">
        <f aca="false">IF(H484="","",MAX(0,Setup!$B$5-H484))</f>
        <v/>
      </c>
    </row>
    <row r="485" customFormat="false" ht="15" hidden="false" customHeight="false" outlineLevel="0" collapsed="false">
      <c r="A485" s="16"/>
      <c r="B485" s="17"/>
      <c r="C485" s="18"/>
      <c r="D485" s="18"/>
      <c r="E485" s="19" t="str">
        <f aca="false">IF(OR(C485="",D485=""),"",IF(D485&lt;=C485,"Check times",ROUND((D485-C485)*24,2)))</f>
        <v/>
      </c>
      <c r="F485" s="20" t="str">
        <f aca="false">IF(A485="","",A485-WEEKDAY(A485,3))</f>
        <v/>
      </c>
      <c r="G485" s="21"/>
      <c r="H485" s="19" t="str">
        <f aca="false">IF(OR(B485="",NOT(ISNUMBER(E485))),"",SUMIFS($E$6:$E$505,$B$6:$B$505,B485,$F$6:$F$505,F485,$A$6:$A$505,"&lt;="&amp;A485))</f>
        <v/>
      </c>
      <c r="I485" s="19" t="str">
        <f aca="false">IF(H485="","",MAX(0,Setup!$B$5-H485))</f>
        <v/>
      </c>
    </row>
    <row r="486" customFormat="false" ht="15" hidden="false" customHeight="false" outlineLevel="0" collapsed="false">
      <c r="A486" s="16"/>
      <c r="B486" s="17"/>
      <c r="C486" s="18"/>
      <c r="D486" s="18"/>
      <c r="E486" s="19" t="str">
        <f aca="false">IF(OR(C486="",D486=""),"",IF(D486&lt;=C486,"Check times",ROUND((D486-C486)*24,2)))</f>
        <v/>
      </c>
      <c r="F486" s="20" t="str">
        <f aca="false">IF(A486="","",A486-WEEKDAY(A486,3))</f>
        <v/>
      </c>
      <c r="G486" s="21"/>
      <c r="H486" s="19" t="str">
        <f aca="false">IF(OR(B486="",NOT(ISNUMBER(E486))),"",SUMIFS($E$6:$E$505,$B$6:$B$505,B486,$F$6:$F$505,F486,$A$6:$A$505,"&lt;="&amp;A486))</f>
        <v/>
      </c>
      <c r="I486" s="19" t="str">
        <f aca="false">IF(H486="","",MAX(0,Setup!$B$5-H486))</f>
        <v/>
      </c>
    </row>
    <row r="487" customFormat="false" ht="15" hidden="false" customHeight="false" outlineLevel="0" collapsed="false">
      <c r="A487" s="16"/>
      <c r="B487" s="17"/>
      <c r="C487" s="18"/>
      <c r="D487" s="18"/>
      <c r="E487" s="19" t="str">
        <f aca="false">IF(OR(C487="",D487=""),"",IF(D487&lt;=C487,"Check times",ROUND((D487-C487)*24,2)))</f>
        <v/>
      </c>
      <c r="F487" s="20" t="str">
        <f aca="false">IF(A487="","",A487-WEEKDAY(A487,3))</f>
        <v/>
      </c>
      <c r="G487" s="21"/>
      <c r="H487" s="19" t="str">
        <f aca="false">IF(OR(B487="",NOT(ISNUMBER(E487))),"",SUMIFS($E$6:$E$505,$B$6:$B$505,B487,$F$6:$F$505,F487,$A$6:$A$505,"&lt;="&amp;A487))</f>
        <v/>
      </c>
      <c r="I487" s="19" t="str">
        <f aca="false">IF(H487="","",MAX(0,Setup!$B$5-H487))</f>
        <v/>
      </c>
    </row>
    <row r="488" customFormat="false" ht="15" hidden="false" customHeight="false" outlineLevel="0" collapsed="false">
      <c r="A488" s="16"/>
      <c r="B488" s="17"/>
      <c r="C488" s="18"/>
      <c r="D488" s="18"/>
      <c r="E488" s="19" t="str">
        <f aca="false">IF(OR(C488="",D488=""),"",IF(D488&lt;=C488,"Check times",ROUND((D488-C488)*24,2)))</f>
        <v/>
      </c>
      <c r="F488" s="20" t="str">
        <f aca="false">IF(A488="","",A488-WEEKDAY(A488,3))</f>
        <v/>
      </c>
      <c r="G488" s="21"/>
      <c r="H488" s="19" t="str">
        <f aca="false">IF(OR(B488="",NOT(ISNUMBER(E488))),"",SUMIFS($E$6:$E$505,$B$6:$B$505,B488,$F$6:$F$505,F488,$A$6:$A$505,"&lt;="&amp;A488))</f>
        <v/>
      </c>
      <c r="I488" s="19" t="str">
        <f aca="false">IF(H488="","",MAX(0,Setup!$B$5-H488))</f>
        <v/>
      </c>
    </row>
    <row r="489" customFormat="false" ht="15" hidden="false" customHeight="false" outlineLevel="0" collapsed="false">
      <c r="A489" s="16"/>
      <c r="B489" s="17"/>
      <c r="C489" s="18"/>
      <c r="D489" s="18"/>
      <c r="E489" s="19" t="str">
        <f aca="false">IF(OR(C489="",D489=""),"",IF(D489&lt;=C489,"Check times",ROUND((D489-C489)*24,2)))</f>
        <v/>
      </c>
      <c r="F489" s="20" t="str">
        <f aca="false">IF(A489="","",A489-WEEKDAY(A489,3))</f>
        <v/>
      </c>
      <c r="G489" s="21"/>
      <c r="H489" s="19" t="str">
        <f aca="false">IF(OR(B489="",NOT(ISNUMBER(E489))),"",SUMIFS($E$6:$E$505,$B$6:$B$505,B489,$F$6:$F$505,F489,$A$6:$A$505,"&lt;="&amp;A489))</f>
        <v/>
      </c>
      <c r="I489" s="19" t="str">
        <f aca="false">IF(H489="","",MAX(0,Setup!$B$5-H489))</f>
        <v/>
      </c>
    </row>
    <row r="490" customFormat="false" ht="15" hidden="false" customHeight="false" outlineLevel="0" collapsed="false">
      <c r="A490" s="16"/>
      <c r="B490" s="17"/>
      <c r="C490" s="18"/>
      <c r="D490" s="18"/>
      <c r="E490" s="19" t="str">
        <f aca="false">IF(OR(C490="",D490=""),"",IF(D490&lt;=C490,"Check times",ROUND((D490-C490)*24,2)))</f>
        <v/>
      </c>
      <c r="F490" s="20" t="str">
        <f aca="false">IF(A490="","",A490-WEEKDAY(A490,3))</f>
        <v/>
      </c>
      <c r="G490" s="21"/>
      <c r="H490" s="19" t="str">
        <f aca="false">IF(OR(B490="",NOT(ISNUMBER(E490))),"",SUMIFS($E$6:$E$505,$B$6:$B$505,B490,$F$6:$F$505,F490,$A$6:$A$505,"&lt;="&amp;A490))</f>
        <v/>
      </c>
      <c r="I490" s="19" t="str">
        <f aca="false">IF(H490="","",MAX(0,Setup!$B$5-H490))</f>
        <v/>
      </c>
    </row>
    <row r="491" customFormat="false" ht="15" hidden="false" customHeight="false" outlineLevel="0" collapsed="false">
      <c r="A491" s="16"/>
      <c r="B491" s="17"/>
      <c r="C491" s="18"/>
      <c r="D491" s="18"/>
      <c r="E491" s="19" t="str">
        <f aca="false">IF(OR(C491="",D491=""),"",IF(D491&lt;=C491,"Check times",ROUND((D491-C491)*24,2)))</f>
        <v/>
      </c>
      <c r="F491" s="20" t="str">
        <f aca="false">IF(A491="","",A491-WEEKDAY(A491,3))</f>
        <v/>
      </c>
      <c r="G491" s="21"/>
      <c r="H491" s="19" t="str">
        <f aca="false">IF(OR(B491="",NOT(ISNUMBER(E491))),"",SUMIFS($E$6:$E$505,$B$6:$B$505,B491,$F$6:$F$505,F491,$A$6:$A$505,"&lt;="&amp;A491))</f>
        <v/>
      </c>
      <c r="I491" s="19" t="str">
        <f aca="false">IF(H491="","",MAX(0,Setup!$B$5-H491))</f>
        <v/>
      </c>
    </row>
    <row r="492" customFormat="false" ht="15" hidden="false" customHeight="false" outlineLevel="0" collapsed="false">
      <c r="A492" s="16"/>
      <c r="B492" s="17"/>
      <c r="C492" s="18"/>
      <c r="D492" s="18"/>
      <c r="E492" s="19" t="str">
        <f aca="false">IF(OR(C492="",D492=""),"",IF(D492&lt;=C492,"Check times",ROUND((D492-C492)*24,2)))</f>
        <v/>
      </c>
      <c r="F492" s="20" t="str">
        <f aca="false">IF(A492="","",A492-WEEKDAY(A492,3))</f>
        <v/>
      </c>
      <c r="G492" s="21"/>
      <c r="H492" s="19" t="str">
        <f aca="false">IF(OR(B492="",NOT(ISNUMBER(E492))),"",SUMIFS($E$6:$E$505,$B$6:$B$505,B492,$F$6:$F$505,F492,$A$6:$A$505,"&lt;="&amp;A492))</f>
        <v/>
      </c>
      <c r="I492" s="19" t="str">
        <f aca="false">IF(H492="","",MAX(0,Setup!$B$5-H492))</f>
        <v/>
      </c>
    </row>
    <row r="493" customFormat="false" ht="15" hidden="false" customHeight="false" outlineLevel="0" collapsed="false">
      <c r="A493" s="16"/>
      <c r="B493" s="17"/>
      <c r="C493" s="18"/>
      <c r="D493" s="18"/>
      <c r="E493" s="19" t="str">
        <f aca="false">IF(OR(C493="",D493=""),"",IF(D493&lt;=C493,"Check times",ROUND((D493-C493)*24,2)))</f>
        <v/>
      </c>
      <c r="F493" s="20" t="str">
        <f aca="false">IF(A493="","",A493-WEEKDAY(A493,3))</f>
        <v/>
      </c>
      <c r="G493" s="21"/>
      <c r="H493" s="19" t="str">
        <f aca="false">IF(OR(B493="",NOT(ISNUMBER(E493))),"",SUMIFS($E$6:$E$505,$B$6:$B$505,B493,$F$6:$F$505,F493,$A$6:$A$505,"&lt;="&amp;A493))</f>
        <v/>
      </c>
      <c r="I493" s="19" t="str">
        <f aca="false">IF(H493="","",MAX(0,Setup!$B$5-H493))</f>
        <v/>
      </c>
    </row>
    <row r="494" customFormat="false" ht="15" hidden="false" customHeight="false" outlineLevel="0" collapsed="false">
      <c r="A494" s="16"/>
      <c r="B494" s="17"/>
      <c r="C494" s="18"/>
      <c r="D494" s="18"/>
      <c r="E494" s="19" t="str">
        <f aca="false">IF(OR(C494="",D494=""),"",IF(D494&lt;=C494,"Check times",ROUND((D494-C494)*24,2)))</f>
        <v/>
      </c>
      <c r="F494" s="20" t="str">
        <f aca="false">IF(A494="","",A494-WEEKDAY(A494,3))</f>
        <v/>
      </c>
      <c r="G494" s="21"/>
      <c r="H494" s="19" t="str">
        <f aca="false">IF(OR(B494="",NOT(ISNUMBER(E494))),"",SUMIFS($E$6:$E$505,$B$6:$B$505,B494,$F$6:$F$505,F494,$A$6:$A$505,"&lt;="&amp;A494))</f>
        <v/>
      </c>
      <c r="I494" s="19" t="str">
        <f aca="false">IF(H494="","",MAX(0,Setup!$B$5-H494))</f>
        <v/>
      </c>
    </row>
    <row r="495" customFormat="false" ht="15" hidden="false" customHeight="false" outlineLevel="0" collapsed="false">
      <c r="A495" s="16"/>
      <c r="B495" s="17"/>
      <c r="C495" s="18"/>
      <c r="D495" s="18"/>
      <c r="E495" s="19" t="str">
        <f aca="false">IF(OR(C495="",D495=""),"",IF(D495&lt;=C495,"Check times",ROUND((D495-C495)*24,2)))</f>
        <v/>
      </c>
      <c r="F495" s="20" t="str">
        <f aca="false">IF(A495="","",A495-WEEKDAY(A495,3))</f>
        <v/>
      </c>
      <c r="G495" s="21"/>
      <c r="H495" s="19" t="str">
        <f aca="false">IF(OR(B495="",NOT(ISNUMBER(E495))),"",SUMIFS($E$6:$E$505,$B$6:$B$505,B495,$F$6:$F$505,F495,$A$6:$A$505,"&lt;="&amp;A495))</f>
        <v/>
      </c>
      <c r="I495" s="19" t="str">
        <f aca="false">IF(H495="","",MAX(0,Setup!$B$5-H495))</f>
        <v/>
      </c>
    </row>
    <row r="496" customFormat="false" ht="15" hidden="false" customHeight="false" outlineLevel="0" collapsed="false">
      <c r="A496" s="16"/>
      <c r="B496" s="17"/>
      <c r="C496" s="18"/>
      <c r="D496" s="18"/>
      <c r="E496" s="19" t="str">
        <f aca="false">IF(OR(C496="",D496=""),"",IF(D496&lt;=C496,"Check times",ROUND((D496-C496)*24,2)))</f>
        <v/>
      </c>
      <c r="F496" s="20" t="str">
        <f aca="false">IF(A496="","",A496-WEEKDAY(A496,3))</f>
        <v/>
      </c>
      <c r="G496" s="21"/>
      <c r="H496" s="19" t="str">
        <f aca="false">IF(OR(B496="",NOT(ISNUMBER(E496))),"",SUMIFS($E$6:$E$505,$B$6:$B$505,B496,$F$6:$F$505,F496,$A$6:$A$505,"&lt;="&amp;A496))</f>
        <v/>
      </c>
      <c r="I496" s="19" t="str">
        <f aca="false">IF(H496="","",MAX(0,Setup!$B$5-H496))</f>
        <v/>
      </c>
    </row>
    <row r="497" customFormat="false" ht="15" hidden="false" customHeight="false" outlineLevel="0" collapsed="false">
      <c r="A497" s="16"/>
      <c r="B497" s="17"/>
      <c r="C497" s="18"/>
      <c r="D497" s="18"/>
      <c r="E497" s="19" t="str">
        <f aca="false">IF(OR(C497="",D497=""),"",IF(D497&lt;=C497,"Check times",ROUND((D497-C497)*24,2)))</f>
        <v/>
      </c>
      <c r="F497" s="20" t="str">
        <f aca="false">IF(A497="","",A497-WEEKDAY(A497,3))</f>
        <v/>
      </c>
      <c r="G497" s="21"/>
      <c r="H497" s="19" t="str">
        <f aca="false">IF(OR(B497="",NOT(ISNUMBER(E497))),"",SUMIFS($E$6:$E$505,$B$6:$B$505,B497,$F$6:$F$505,F497,$A$6:$A$505,"&lt;="&amp;A497))</f>
        <v/>
      </c>
      <c r="I497" s="19" t="str">
        <f aca="false">IF(H497="","",MAX(0,Setup!$B$5-H497))</f>
        <v/>
      </c>
    </row>
    <row r="498" customFormat="false" ht="15" hidden="false" customHeight="false" outlineLevel="0" collapsed="false">
      <c r="A498" s="16"/>
      <c r="B498" s="17"/>
      <c r="C498" s="18"/>
      <c r="D498" s="18"/>
      <c r="E498" s="19" t="str">
        <f aca="false">IF(OR(C498="",D498=""),"",IF(D498&lt;=C498,"Check times",ROUND((D498-C498)*24,2)))</f>
        <v/>
      </c>
      <c r="F498" s="20" t="str">
        <f aca="false">IF(A498="","",A498-WEEKDAY(A498,3))</f>
        <v/>
      </c>
      <c r="G498" s="21"/>
      <c r="H498" s="19" t="str">
        <f aca="false">IF(OR(B498="",NOT(ISNUMBER(E498))),"",SUMIFS($E$6:$E$505,$B$6:$B$505,B498,$F$6:$F$505,F498,$A$6:$A$505,"&lt;="&amp;A498))</f>
        <v/>
      </c>
      <c r="I498" s="19" t="str">
        <f aca="false">IF(H498="","",MAX(0,Setup!$B$5-H498))</f>
        <v/>
      </c>
    </row>
    <row r="499" customFormat="false" ht="15" hidden="false" customHeight="false" outlineLevel="0" collapsed="false">
      <c r="A499" s="16"/>
      <c r="B499" s="17"/>
      <c r="C499" s="18"/>
      <c r="D499" s="18"/>
      <c r="E499" s="19" t="str">
        <f aca="false">IF(OR(C499="",D499=""),"",IF(D499&lt;=C499,"Check times",ROUND((D499-C499)*24,2)))</f>
        <v/>
      </c>
      <c r="F499" s="20" t="str">
        <f aca="false">IF(A499="","",A499-WEEKDAY(A499,3))</f>
        <v/>
      </c>
      <c r="G499" s="21"/>
      <c r="H499" s="19" t="str">
        <f aca="false">IF(OR(B499="",NOT(ISNUMBER(E499))),"",SUMIFS($E$6:$E$505,$B$6:$B$505,B499,$F$6:$F$505,F499,$A$6:$A$505,"&lt;="&amp;A499))</f>
        <v/>
      </c>
      <c r="I499" s="19" t="str">
        <f aca="false">IF(H499="","",MAX(0,Setup!$B$5-H499))</f>
        <v/>
      </c>
    </row>
    <row r="500" customFormat="false" ht="15" hidden="false" customHeight="false" outlineLevel="0" collapsed="false">
      <c r="A500" s="16"/>
      <c r="B500" s="17"/>
      <c r="C500" s="18"/>
      <c r="D500" s="18"/>
      <c r="E500" s="19" t="str">
        <f aca="false">IF(OR(C500="",D500=""),"",IF(D500&lt;=C500,"Check times",ROUND((D500-C500)*24,2)))</f>
        <v/>
      </c>
      <c r="F500" s="20" t="str">
        <f aca="false">IF(A500="","",A500-WEEKDAY(A500,3))</f>
        <v/>
      </c>
      <c r="G500" s="21"/>
      <c r="H500" s="19" t="str">
        <f aca="false">IF(OR(B500="",NOT(ISNUMBER(E500))),"",SUMIFS($E$6:$E$505,$B$6:$B$505,B500,$F$6:$F$505,F500,$A$6:$A$505,"&lt;="&amp;A500))</f>
        <v/>
      </c>
      <c r="I500" s="19" t="str">
        <f aca="false">IF(H500="","",MAX(0,Setup!$B$5-H500))</f>
        <v/>
      </c>
    </row>
    <row r="501" customFormat="false" ht="15" hidden="false" customHeight="false" outlineLevel="0" collapsed="false">
      <c r="A501" s="16"/>
      <c r="B501" s="17"/>
      <c r="C501" s="18"/>
      <c r="D501" s="18"/>
      <c r="E501" s="19" t="str">
        <f aca="false">IF(OR(C501="",D501=""),"",IF(D501&lt;=C501,"Check times",ROUND((D501-C501)*24,2)))</f>
        <v/>
      </c>
      <c r="F501" s="20" t="str">
        <f aca="false">IF(A501="","",A501-WEEKDAY(A501,3))</f>
        <v/>
      </c>
      <c r="G501" s="21"/>
      <c r="H501" s="19" t="str">
        <f aca="false">IF(OR(B501="",NOT(ISNUMBER(E501))),"",SUMIFS($E$6:$E$505,$B$6:$B$505,B501,$F$6:$F$505,F501,$A$6:$A$505,"&lt;="&amp;A501))</f>
        <v/>
      </c>
      <c r="I501" s="19" t="str">
        <f aca="false">IF(H501="","",MAX(0,Setup!$B$5-H501))</f>
        <v/>
      </c>
    </row>
    <row r="502" customFormat="false" ht="15" hidden="false" customHeight="false" outlineLevel="0" collapsed="false">
      <c r="A502" s="16"/>
      <c r="B502" s="17"/>
      <c r="C502" s="18"/>
      <c r="D502" s="18"/>
      <c r="E502" s="19" t="str">
        <f aca="false">IF(OR(C502="",D502=""),"",IF(D502&lt;=C502,"Check times",ROUND((D502-C502)*24,2)))</f>
        <v/>
      </c>
      <c r="F502" s="20" t="str">
        <f aca="false">IF(A502="","",A502-WEEKDAY(A502,3))</f>
        <v/>
      </c>
      <c r="G502" s="21"/>
      <c r="H502" s="19" t="str">
        <f aca="false">IF(OR(B502="",NOT(ISNUMBER(E502))),"",SUMIFS($E$6:$E$505,$B$6:$B$505,B502,$F$6:$F$505,F502,$A$6:$A$505,"&lt;="&amp;A502))</f>
        <v/>
      </c>
      <c r="I502" s="19" t="str">
        <f aca="false">IF(H502="","",MAX(0,Setup!$B$5-H502))</f>
        <v/>
      </c>
    </row>
    <row r="503" customFormat="false" ht="15" hidden="false" customHeight="false" outlineLevel="0" collapsed="false">
      <c r="A503" s="16"/>
      <c r="B503" s="17"/>
      <c r="C503" s="18"/>
      <c r="D503" s="18"/>
      <c r="E503" s="19" t="str">
        <f aca="false">IF(OR(C503="",D503=""),"",IF(D503&lt;=C503,"Check times",ROUND((D503-C503)*24,2)))</f>
        <v/>
      </c>
      <c r="F503" s="20" t="str">
        <f aca="false">IF(A503="","",A503-WEEKDAY(A503,3))</f>
        <v/>
      </c>
      <c r="G503" s="21"/>
      <c r="H503" s="19" t="str">
        <f aca="false">IF(OR(B503="",NOT(ISNUMBER(E503))),"",SUMIFS($E$6:$E$505,$B$6:$B$505,B503,$F$6:$F$505,F503,$A$6:$A$505,"&lt;="&amp;A503))</f>
        <v/>
      </c>
      <c r="I503" s="19" t="str">
        <f aca="false">IF(H503="","",MAX(0,Setup!$B$5-H503))</f>
        <v/>
      </c>
    </row>
    <row r="504" customFormat="false" ht="15" hidden="false" customHeight="false" outlineLevel="0" collapsed="false">
      <c r="A504" s="16"/>
      <c r="B504" s="17"/>
      <c r="C504" s="18"/>
      <c r="D504" s="18"/>
      <c r="E504" s="19" t="str">
        <f aca="false">IF(OR(C504="",D504=""),"",IF(D504&lt;=C504,"Check times",ROUND((D504-C504)*24,2)))</f>
        <v/>
      </c>
      <c r="F504" s="20" t="str">
        <f aca="false">IF(A504="","",A504-WEEKDAY(A504,3))</f>
        <v/>
      </c>
      <c r="G504" s="21"/>
      <c r="H504" s="19" t="str">
        <f aca="false">IF(OR(B504="",NOT(ISNUMBER(E504))),"",SUMIFS($E$6:$E$505,$B$6:$B$505,B504,$F$6:$F$505,F504,$A$6:$A$505,"&lt;="&amp;A504))</f>
        <v/>
      </c>
      <c r="I504" s="19" t="str">
        <f aca="false">IF(H504="","",MAX(0,Setup!$B$5-H504))</f>
        <v/>
      </c>
    </row>
    <row r="505" customFormat="false" ht="15" hidden="false" customHeight="false" outlineLevel="0" collapsed="false">
      <c r="A505" s="16"/>
      <c r="B505" s="17"/>
      <c r="C505" s="18"/>
      <c r="D505" s="18"/>
      <c r="E505" s="19" t="str">
        <f aca="false">IF(OR(C505="",D505=""),"",IF(D505&lt;=C505,"Check times",ROUND((D505-C505)*24,2)))</f>
        <v/>
      </c>
      <c r="F505" s="20" t="str">
        <f aca="false">IF(A505="","",A505-WEEKDAY(A505,3))</f>
        <v/>
      </c>
      <c r="G505" s="21"/>
      <c r="H505" s="19" t="str">
        <f aca="false">IF(OR(B505="",NOT(ISNUMBER(E505))),"",SUMIFS($E$6:$E$505,$B$6:$B$505,B505,$F$6:$F$505,F505,$A$6:$A$505,"&lt;="&amp;A505))</f>
        <v/>
      </c>
      <c r="I505" s="19" t="str">
        <f aca="false">IF(H505="","",MAX(0,Setup!$B$5-H505))</f>
        <v/>
      </c>
    </row>
  </sheetData>
  <autoFilter ref="A5:I505"/>
  <conditionalFormatting sqref="E6:E505">
    <cfRule type="expression" priority="2" aboveAverage="0" equalAverage="0" bottom="0" percent="0" rank="0" text="" dxfId="5">
      <formula>E6="Check times"</formula>
    </cfRule>
  </conditionalFormatting>
  <conditionalFormatting sqref="H6:I505">
    <cfRule type="expression" priority="3" aboveAverage="0" equalAverage="0" bottom="0" percent="0" rank="0" text="" dxfId="6">
      <formula>AND(ISNUMBER($H6),$H6&gt;=Setup!$B$5)</formula>
    </cfRule>
  </conditionalFormatting>
  <conditionalFormatting sqref="G6:G505">
    <cfRule type="expression" priority="4" aboveAverage="0" equalAverage="0" bottom="0" percent="0" rank="0" text="" dxfId="7">
      <formula>AND($A6&lt;&gt;"",$G6="")</formula>
    </cfRule>
  </conditionalFormatting>
  <dataValidations count="3">
    <dataValidation allowBlank="true" error="Choose an intern from the list (names are set on the Setup tab)." errorStyle="stop" errorTitle="Pick an intern" operator="between" showDropDown="false" showErrorMessage="true" showInputMessage="false" sqref="B6:B505" type="list">
      <formula1>Setup!$B$9:$B$10</formula1>
      <formula2>0</formula2>
    </dataValidation>
    <dataValidation allowBlank="true" error="Enter a date, e.g. 9/21/2026." errorStyle="stop" errorTitle="Date" operator="between" showDropDown="false" showErrorMessage="true" showInputMessage="false" sqref="A6:A505" type="date">
      <formula1>DATE(2020,1,1)</formula1>
      <formula2>DATE(2100,12,31)</formula2>
    </dataValidation>
    <dataValidation allowBlank="true" error="Enter a time, e.g. 9:00 AM." errorStyle="stop" errorTitle="Time" operator="between" showDropDown="false" showErrorMessage="true" showInputMessage="false" sqref="C6:D505" type="time">
      <formula1>0</formula1>
      <formula2>0.999988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7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6" min="6" style="0" width="16"/>
    <col collapsed="false" customWidth="true" hidden="false" outlineLevel="0" max="8" min="7" style="0" width="18"/>
  </cols>
  <sheetData>
    <row r="1" customFormat="false" ht="19.7" hidden="false" customHeight="false" outlineLevel="0" collapsed="false">
      <c r="A1" s="1" t="s">
        <v>32</v>
      </c>
    </row>
    <row r="2" customFormat="false" ht="15" hidden="false" customHeight="false" outlineLevel="0" collapsed="false">
      <c r="A2" s="13" t="str">
        <f aca="false">"Target: "&amp;Setup!$B$5&amp;" hours per intern per week (Mon–Sun)"</f>
        <v>Target: 20 hours per intern per week (Mon–Sun)</v>
      </c>
    </row>
    <row r="4" customFormat="false" ht="30" hidden="false" customHeight="true" outlineLevel="0" collapsed="false">
      <c r="A4" s="15" t="s">
        <v>29</v>
      </c>
      <c r="B4" s="15" t="s">
        <v>33</v>
      </c>
      <c r="C4" s="15" t="str">
        <f aca="false">Setup!$B$9&amp;" — Hours"</f>
        <v>Intern 1 — Hours</v>
      </c>
      <c r="D4" s="15" t="str">
        <f aca="false">Setup!$B$9&amp;" — Remaining"</f>
        <v>Intern 1 — Remaining</v>
      </c>
      <c r="E4" s="15" t="str">
        <f aca="false">Setup!$B$9&amp;" — Status"</f>
        <v>Intern 1 — Status</v>
      </c>
      <c r="F4" s="15" t="str">
        <f aca="false">Setup!$B$10&amp;" — Hours"</f>
        <v>Intern 2 — Hours</v>
      </c>
      <c r="G4" s="15" t="str">
        <f aca="false">Setup!$B$10&amp;" — Remaining"</f>
        <v>Intern 2 — Remaining</v>
      </c>
      <c r="H4" s="15" t="str">
        <f aca="false">Setup!$B$10&amp;" — Status"</f>
        <v>Intern 2 — Status</v>
      </c>
    </row>
    <row r="5" customFormat="false" ht="15" hidden="false" customHeight="false" outlineLevel="0" collapsed="false">
      <c r="A5" s="22" t="n">
        <f aca="false">Setup!$B$6-WEEKDAY(Setup!$B$6,3)</f>
        <v>46286</v>
      </c>
      <c r="B5" s="22" t="n">
        <f aca="false">A5+6</f>
        <v>46292</v>
      </c>
      <c r="C5" s="23" t="n">
        <f aca="false">SUMIFS(Logbook!$E$6:$E$505,Logbook!$B$6:$B$505,Setup!$B$9,Logbook!$F$6:$F$505,A5)</f>
        <v>0</v>
      </c>
      <c r="D5" s="23" t="n">
        <f aca="false">MAX(0,Setup!$B$5-C5)</f>
        <v>20</v>
      </c>
      <c r="E5" s="24" t="str">
        <f aca="true">IF(C5&gt;=Setup!$B$5,"✓ Target met",IF(A5&gt;TODAY(),"Upcoming",IF(B5&gt;=TODAY(),"In progress","Short by "&amp;TEXT(D5,"0.00")&amp;" hrs")))</f>
        <v>In progress</v>
      </c>
      <c r="F5" s="23" t="n">
        <f aca="false">SUMIFS(Logbook!$E$6:$E$505,Logbook!$B$6:$B$505,Setup!$B$10,Logbook!$F$6:$F$505,A5)</f>
        <v>0</v>
      </c>
      <c r="G5" s="23" t="n">
        <f aca="false">MAX(0,Setup!$B$5-F5)</f>
        <v>20</v>
      </c>
      <c r="H5" s="24" t="str">
        <f aca="true">IF(F5&gt;=Setup!$B$5,"✓ Target met",IF(A5&gt;TODAY(),"Upcoming",IF(B5&gt;=TODAY(),"In progress","Short by "&amp;TEXT(G5,"0.00")&amp;" hrs")))</f>
        <v>In progress</v>
      </c>
    </row>
    <row r="6" customFormat="false" ht="15" hidden="false" customHeight="false" outlineLevel="0" collapsed="false">
      <c r="A6" s="25" t="n">
        <f aca="false">A5+7</f>
        <v>46293</v>
      </c>
      <c r="B6" s="25" t="n">
        <f aca="false">A6+6</f>
        <v>46299</v>
      </c>
      <c r="C6" s="26" t="n">
        <f aca="false">SUMIFS(Logbook!$E$6:$E$505,Logbook!$B$6:$B$505,Setup!$B$9,Logbook!$F$6:$F$505,A6)</f>
        <v>0</v>
      </c>
      <c r="D6" s="26" t="n">
        <f aca="false">MAX(0,Setup!$B$5-C6)</f>
        <v>20</v>
      </c>
      <c r="E6" s="27" t="str">
        <f aca="true">IF(C6&gt;=Setup!$B$5,"✓ Target met",IF(A6&gt;TODAY(),"Upcoming",IF(B6&gt;=TODAY(),"In progress","Short by "&amp;TEXT(D6,"0.00")&amp;" hrs")))</f>
        <v>Upcoming</v>
      </c>
      <c r="F6" s="26" t="n">
        <f aca="false">SUMIFS(Logbook!$E$6:$E$505,Logbook!$B$6:$B$505,Setup!$B$10,Logbook!$F$6:$F$505,A6)</f>
        <v>0</v>
      </c>
      <c r="G6" s="26" t="n">
        <f aca="false">MAX(0,Setup!$B$5-F6)</f>
        <v>20</v>
      </c>
      <c r="H6" s="27" t="str">
        <f aca="true">IF(F6&gt;=Setup!$B$5,"✓ Target met",IF(A6&gt;TODAY(),"Upcoming",IF(B6&gt;=TODAY(),"In progress","Short by "&amp;TEXT(G6,"0.00")&amp;" hrs")))</f>
        <v>Upcoming</v>
      </c>
    </row>
    <row r="7" customFormat="false" ht="15" hidden="false" customHeight="false" outlineLevel="0" collapsed="false">
      <c r="A7" s="22" t="n">
        <f aca="false">A6+7</f>
        <v>46300</v>
      </c>
      <c r="B7" s="22" t="n">
        <f aca="false">A7+6</f>
        <v>46306</v>
      </c>
      <c r="C7" s="23" t="n">
        <f aca="false">SUMIFS(Logbook!$E$6:$E$505,Logbook!$B$6:$B$505,Setup!$B$9,Logbook!$F$6:$F$505,A7)</f>
        <v>0</v>
      </c>
      <c r="D7" s="23" t="n">
        <f aca="false">MAX(0,Setup!$B$5-C7)</f>
        <v>20</v>
      </c>
      <c r="E7" s="24" t="str">
        <f aca="true">IF(C7&gt;=Setup!$B$5,"✓ Target met",IF(A7&gt;TODAY(),"Upcoming",IF(B7&gt;=TODAY(),"In progress","Short by "&amp;TEXT(D7,"0.00")&amp;" hrs")))</f>
        <v>Upcoming</v>
      </c>
      <c r="F7" s="23" t="n">
        <f aca="false">SUMIFS(Logbook!$E$6:$E$505,Logbook!$B$6:$B$505,Setup!$B$10,Logbook!$F$6:$F$505,A7)</f>
        <v>0</v>
      </c>
      <c r="G7" s="23" t="n">
        <f aca="false">MAX(0,Setup!$B$5-F7)</f>
        <v>20</v>
      </c>
      <c r="H7" s="24" t="str">
        <f aca="true">IF(F7&gt;=Setup!$B$5,"✓ Target met",IF(A7&gt;TODAY(),"Upcoming",IF(B7&gt;=TODAY(),"In progress","Short by "&amp;TEXT(G7,"0.00")&amp;" hrs")))</f>
        <v>Upcoming</v>
      </c>
    </row>
    <row r="8" customFormat="false" ht="15" hidden="false" customHeight="false" outlineLevel="0" collapsed="false">
      <c r="A8" s="25" t="n">
        <f aca="false">A7+7</f>
        <v>46307</v>
      </c>
      <c r="B8" s="25" t="n">
        <f aca="false">A8+6</f>
        <v>46313</v>
      </c>
      <c r="C8" s="26" t="n">
        <f aca="false">SUMIFS(Logbook!$E$6:$E$505,Logbook!$B$6:$B$505,Setup!$B$9,Logbook!$F$6:$F$505,A8)</f>
        <v>0</v>
      </c>
      <c r="D8" s="26" t="n">
        <f aca="false">MAX(0,Setup!$B$5-C8)</f>
        <v>20</v>
      </c>
      <c r="E8" s="27" t="str">
        <f aca="true">IF(C8&gt;=Setup!$B$5,"✓ Target met",IF(A8&gt;TODAY(),"Upcoming",IF(B8&gt;=TODAY(),"In progress","Short by "&amp;TEXT(D8,"0.00")&amp;" hrs")))</f>
        <v>Upcoming</v>
      </c>
      <c r="F8" s="26" t="n">
        <f aca="false">SUMIFS(Logbook!$E$6:$E$505,Logbook!$B$6:$B$505,Setup!$B$10,Logbook!$F$6:$F$505,A8)</f>
        <v>0</v>
      </c>
      <c r="G8" s="26" t="n">
        <f aca="false">MAX(0,Setup!$B$5-F8)</f>
        <v>20</v>
      </c>
      <c r="H8" s="27" t="str">
        <f aca="true">IF(F8&gt;=Setup!$B$5,"✓ Target met",IF(A8&gt;TODAY(),"Upcoming",IF(B8&gt;=TODAY(),"In progress","Short by "&amp;TEXT(G8,"0.00")&amp;" hrs")))</f>
        <v>Upcoming</v>
      </c>
    </row>
    <row r="9" customFormat="false" ht="15" hidden="false" customHeight="false" outlineLevel="0" collapsed="false">
      <c r="A9" s="22" t="n">
        <f aca="false">A8+7</f>
        <v>46314</v>
      </c>
      <c r="B9" s="22" t="n">
        <f aca="false">A9+6</f>
        <v>46320</v>
      </c>
      <c r="C9" s="23" t="n">
        <f aca="false">SUMIFS(Logbook!$E$6:$E$505,Logbook!$B$6:$B$505,Setup!$B$9,Logbook!$F$6:$F$505,A9)</f>
        <v>0</v>
      </c>
      <c r="D9" s="23" t="n">
        <f aca="false">MAX(0,Setup!$B$5-C9)</f>
        <v>20</v>
      </c>
      <c r="E9" s="24" t="str">
        <f aca="true">IF(C9&gt;=Setup!$B$5,"✓ Target met",IF(A9&gt;TODAY(),"Upcoming",IF(B9&gt;=TODAY(),"In progress","Short by "&amp;TEXT(D9,"0.00")&amp;" hrs")))</f>
        <v>Upcoming</v>
      </c>
      <c r="F9" s="23" t="n">
        <f aca="false">SUMIFS(Logbook!$E$6:$E$505,Logbook!$B$6:$B$505,Setup!$B$10,Logbook!$F$6:$F$505,A9)</f>
        <v>0</v>
      </c>
      <c r="G9" s="23" t="n">
        <f aca="false">MAX(0,Setup!$B$5-F9)</f>
        <v>20</v>
      </c>
      <c r="H9" s="24" t="str">
        <f aca="true">IF(F9&gt;=Setup!$B$5,"✓ Target met",IF(A9&gt;TODAY(),"Upcoming",IF(B9&gt;=TODAY(),"In progress","Short by "&amp;TEXT(G9,"0.00")&amp;" hrs")))</f>
        <v>Upcoming</v>
      </c>
    </row>
    <row r="10" customFormat="false" ht="15" hidden="false" customHeight="false" outlineLevel="0" collapsed="false">
      <c r="A10" s="25" t="n">
        <f aca="false">A9+7</f>
        <v>46321</v>
      </c>
      <c r="B10" s="25" t="n">
        <f aca="false">A10+6</f>
        <v>46327</v>
      </c>
      <c r="C10" s="26" t="n">
        <f aca="false">SUMIFS(Logbook!$E$6:$E$505,Logbook!$B$6:$B$505,Setup!$B$9,Logbook!$F$6:$F$505,A10)</f>
        <v>0</v>
      </c>
      <c r="D10" s="26" t="n">
        <f aca="false">MAX(0,Setup!$B$5-C10)</f>
        <v>20</v>
      </c>
      <c r="E10" s="27" t="str">
        <f aca="true">IF(C10&gt;=Setup!$B$5,"✓ Target met",IF(A10&gt;TODAY(),"Upcoming",IF(B10&gt;=TODAY(),"In progress","Short by "&amp;TEXT(D10,"0.00")&amp;" hrs")))</f>
        <v>Upcoming</v>
      </c>
      <c r="F10" s="26" t="n">
        <f aca="false">SUMIFS(Logbook!$E$6:$E$505,Logbook!$B$6:$B$505,Setup!$B$10,Logbook!$F$6:$F$505,A10)</f>
        <v>0</v>
      </c>
      <c r="G10" s="26" t="n">
        <f aca="false">MAX(0,Setup!$B$5-F10)</f>
        <v>20</v>
      </c>
      <c r="H10" s="27" t="str">
        <f aca="true">IF(F10&gt;=Setup!$B$5,"✓ Target met",IF(A10&gt;TODAY(),"Upcoming",IF(B10&gt;=TODAY(),"In progress","Short by "&amp;TEXT(G10,"0.00")&amp;" hrs")))</f>
        <v>Upcoming</v>
      </c>
    </row>
    <row r="11" customFormat="false" ht="15" hidden="false" customHeight="false" outlineLevel="0" collapsed="false">
      <c r="A11" s="22" t="n">
        <f aca="false">A10+7</f>
        <v>46328</v>
      </c>
      <c r="B11" s="22" t="n">
        <f aca="false">A11+6</f>
        <v>46334</v>
      </c>
      <c r="C11" s="23" t="n">
        <f aca="false">SUMIFS(Logbook!$E$6:$E$505,Logbook!$B$6:$B$505,Setup!$B$9,Logbook!$F$6:$F$505,A11)</f>
        <v>0</v>
      </c>
      <c r="D11" s="23" t="n">
        <f aca="false">MAX(0,Setup!$B$5-C11)</f>
        <v>20</v>
      </c>
      <c r="E11" s="24" t="str">
        <f aca="true">IF(C11&gt;=Setup!$B$5,"✓ Target met",IF(A11&gt;TODAY(),"Upcoming",IF(B11&gt;=TODAY(),"In progress","Short by "&amp;TEXT(D11,"0.00")&amp;" hrs")))</f>
        <v>Upcoming</v>
      </c>
      <c r="F11" s="23" t="n">
        <f aca="false">SUMIFS(Logbook!$E$6:$E$505,Logbook!$B$6:$B$505,Setup!$B$10,Logbook!$F$6:$F$505,A11)</f>
        <v>0</v>
      </c>
      <c r="G11" s="23" t="n">
        <f aca="false">MAX(0,Setup!$B$5-F11)</f>
        <v>20</v>
      </c>
      <c r="H11" s="24" t="str">
        <f aca="true">IF(F11&gt;=Setup!$B$5,"✓ Target met",IF(A11&gt;TODAY(),"Upcoming",IF(B11&gt;=TODAY(),"In progress","Short by "&amp;TEXT(G11,"0.00")&amp;" hrs")))</f>
        <v>Upcoming</v>
      </c>
    </row>
    <row r="12" customFormat="false" ht="15" hidden="false" customHeight="false" outlineLevel="0" collapsed="false">
      <c r="A12" s="25" t="n">
        <f aca="false">A11+7</f>
        <v>46335</v>
      </c>
      <c r="B12" s="25" t="n">
        <f aca="false">A12+6</f>
        <v>46341</v>
      </c>
      <c r="C12" s="26" t="n">
        <f aca="false">SUMIFS(Logbook!$E$6:$E$505,Logbook!$B$6:$B$505,Setup!$B$9,Logbook!$F$6:$F$505,A12)</f>
        <v>0</v>
      </c>
      <c r="D12" s="26" t="n">
        <f aca="false">MAX(0,Setup!$B$5-C12)</f>
        <v>20</v>
      </c>
      <c r="E12" s="27" t="str">
        <f aca="true">IF(C12&gt;=Setup!$B$5,"✓ Target met",IF(A12&gt;TODAY(),"Upcoming",IF(B12&gt;=TODAY(),"In progress","Short by "&amp;TEXT(D12,"0.00")&amp;" hrs")))</f>
        <v>Upcoming</v>
      </c>
      <c r="F12" s="26" t="n">
        <f aca="false">SUMIFS(Logbook!$E$6:$E$505,Logbook!$B$6:$B$505,Setup!$B$10,Logbook!$F$6:$F$505,A12)</f>
        <v>0</v>
      </c>
      <c r="G12" s="26" t="n">
        <f aca="false">MAX(0,Setup!$B$5-F12)</f>
        <v>20</v>
      </c>
      <c r="H12" s="27" t="str">
        <f aca="true">IF(F12&gt;=Setup!$B$5,"✓ Target met",IF(A12&gt;TODAY(),"Upcoming",IF(B12&gt;=TODAY(),"In progress","Short by "&amp;TEXT(G12,"0.00")&amp;" hrs")))</f>
        <v>Upcoming</v>
      </c>
    </row>
    <row r="13" customFormat="false" ht="15" hidden="false" customHeight="false" outlineLevel="0" collapsed="false">
      <c r="A13" s="22" t="n">
        <f aca="false">A12+7</f>
        <v>46342</v>
      </c>
      <c r="B13" s="22" t="n">
        <f aca="false">A13+6</f>
        <v>46348</v>
      </c>
      <c r="C13" s="23" t="n">
        <f aca="false">SUMIFS(Logbook!$E$6:$E$505,Logbook!$B$6:$B$505,Setup!$B$9,Logbook!$F$6:$F$505,A13)</f>
        <v>0</v>
      </c>
      <c r="D13" s="23" t="n">
        <f aca="false">MAX(0,Setup!$B$5-C13)</f>
        <v>20</v>
      </c>
      <c r="E13" s="24" t="str">
        <f aca="true">IF(C13&gt;=Setup!$B$5,"✓ Target met",IF(A13&gt;TODAY(),"Upcoming",IF(B13&gt;=TODAY(),"In progress","Short by "&amp;TEXT(D13,"0.00")&amp;" hrs")))</f>
        <v>Upcoming</v>
      </c>
      <c r="F13" s="23" t="n">
        <f aca="false">SUMIFS(Logbook!$E$6:$E$505,Logbook!$B$6:$B$505,Setup!$B$10,Logbook!$F$6:$F$505,A13)</f>
        <v>0</v>
      </c>
      <c r="G13" s="23" t="n">
        <f aca="false">MAX(0,Setup!$B$5-F13)</f>
        <v>20</v>
      </c>
      <c r="H13" s="24" t="str">
        <f aca="true">IF(F13&gt;=Setup!$B$5,"✓ Target met",IF(A13&gt;TODAY(),"Upcoming",IF(B13&gt;=TODAY(),"In progress","Short by "&amp;TEXT(G13,"0.00")&amp;" hrs")))</f>
        <v>Upcoming</v>
      </c>
    </row>
    <row r="14" customFormat="false" ht="15" hidden="false" customHeight="false" outlineLevel="0" collapsed="false">
      <c r="A14" s="25" t="n">
        <f aca="false">A13+7</f>
        <v>46349</v>
      </c>
      <c r="B14" s="25" t="n">
        <f aca="false">A14+6</f>
        <v>46355</v>
      </c>
      <c r="C14" s="26" t="n">
        <f aca="false">SUMIFS(Logbook!$E$6:$E$505,Logbook!$B$6:$B$505,Setup!$B$9,Logbook!$F$6:$F$505,A14)</f>
        <v>0</v>
      </c>
      <c r="D14" s="26" t="n">
        <f aca="false">MAX(0,Setup!$B$5-C14)</f>
        <v>20</v>
      </c>
      <c r="E14" s="27" t="str">
        <f aca="true">IF(C14&gt;=Setup!$B$5,"✓ Target met",IF(A14&gt;TODAY(),"Upcoming",IF(B14&gt;=TODAY(),"In progress","Short by "&amp;TEXT(D14,"0.00")&amp;" hrs")))</f>
        <v>Upcoming</v>
      </c>
      <c r="F14" s="26" t="n">
        <f aca="false">SUMIFS(Logbook!$E$6:$E$505,Logbook!$B$6:$B$505,Setup!$B$10,Logbook!$F$6:$F$505,A14)</f>
        <v>0</v>
      </c>
      <c r="G14" s="26" t="n">
        <f aca="false">MAX(0,Setup!$B$5-F14)</f>
        <v>20</v>
      </c>
      <c r="H14" s="27" t="str">
        <f aca="true">IF(F14&gt;=Setup!$B$5,"✓ Target met",IF(A14&gt;TODAY(),"Upcoming",IF(B14&gt;=TODAY(),"In progress","Short by "&amp;TEXT(G14,"0.00")&amp;" hrs")))</f>
        <v>Upcoming</v>
      </c>
    </row>
    <row r="15" customFormat="false" ht="15" hidden="false" customHeight="false" outlineLevel="0" collapsed="false">
      <c r="A15" s="22" t="n">
        <f aca="false">A14+7</f>
        <v>46356</v>
      </c>
      <c r="B15" s="22" t="n">
        <f aca="false">A15+6</f>
        <v>46362</v>
      </c>
      <c r="C15" s="23" t="n">
        <f aca="false">SUMIFS(Logbook!$E$6:$E$505,Logbook!$B$6:$B$505,Setup!$B$9,Logbook!$F$6:$F$505,A15)</f>
        <v>0</v>
      </c>
      <c r="D15" s="23" t="n">
        <f aca="false">MAX(0,Setup!$B$5-C15)</f>
        <v>20</v>
      </c>
      <c r="E15" s="24" t="str">
        <f aca="true">IF(C15&gt;=Setup!$B$5,"✓ Target met",IF(A15&gt;TODAY(),"Upcoming",IF(B15&gt;=TODAY(),"In progress","Short by "&amp;TEXT(D15,"0.00")&amp;" hrs")))</f>
        <v>Upcoming</v>
      </c>
      <c r="F15" s="23" t="n">
        <f aca="false">SUMIFS(Logbook!$E$6:$E$505,Logbook!$B$6:$B$505,Setup!$B$10,Logbook!$F$6:$F$505,A15)</f>
        <v>0</v>
      </c>
      <c r="G15" s="23" t="n">
        <f aca="false">MAX(0,Setup!$B$5-F15)</f>
        <v>20</v>
      </c>
      <c r="H15" s="24" t="str">
        <f aca="true">IF(F15&gt;=Setup!$B$5,"✓ Target met",IF(A15&gt;TODAY(),"Upcoming",IF(B15&gt;=TODAY(),"In progress","Short by "&amp;TEXT(G15,"0.00")&amp;" hrs")))</f>
        <v>Upcoming</v>
      </c>
    </row>
    <row r="16" customFormat="false" ht="15" hidden="false" customHeight="false" outlineLevel="0" collapsed="false">
      <c r="A16" s="25" t="n">
        <f aca="false">A15+7</f>
        <v>46363</v>
      </c>
      <c r="B16" s="25" t="n">
        <f aca="false">A16+6</f>
        <v>46369</v>
      </c>
      <c r="C16" s="26" t="n">
        <f aca="false">SUMIFS(Logbook!$E$6:$E$505,Logbook!$B$6:$B$505,Setup!$B$9,Logbook!$F$6:$F$505,A16)</f>
        <v>0</v>
      </c>
      <c r="D16" s="26" t="n">
        <f aca="false">MAX(0,Setup!$B$5-C16)</f>
        <v>20</v>
      </c>
      <c r="E16" s="27" t="str">
        <f aca="true">IF(C16&gt;=Setup!$B$5,"✓ Target met",IF(A16&gt;TODAY(),"Upcoming",IF(B16&gt;=TODAY(),"In progress","Short by "&amp;TEXT(D16,"0.00")&amp;" hrs")))</f>
        <v>Upcoming</v>
      </c>
      <c r="F16" s="26" t="n">
        <f aca="false">SUMIFS(Logbook!$E$6:$E$505,Logbook!$B$6:$B$505,Setup!$B$10,Logbook!$F$6:$F$505,A16)</f>
        <v>0</v>
      </c>
      <c r="G16" s="26" t="n">
        <f aca="false">MAX(0,Setup!$B$5-F16)</f>
        <v>20</v>
      </c>
      <c r="H16" s="27" t="str">
        <f aca="true">IF(F16&gt;=Setup!$B$5,"✓ Target met",IF(A16&gt;TODAY(),"Upcoming",IF(B16&gt;=TODAY(),"In progress","Short by "&amp;TEXT(G16,"0.00")&amp;" hrs")))</f>
        <v>Upcoming</v>
      </c>
    </row>
    <row r="17" customFormat="false" ht="15" hidden="false" customHeight="false" outlineLevel="0" collapsed="false">
      <c r="A17" s="22" t="n">
        <f aca="false">A16+7</f>
        <v>46370</v>
      </c>
      <c r="B17" s="22" t="n">
        <f aca="false">A17+6</f>
        <v>46376</v>
      </c>
      <c r="C17" s="23" t="n">
        <f aca="false">SUMIFS(Logbook!$E$6:$E$505,Logbook!$B$6:$B$505,Setup!$B$9,Logbook!$F$6:$F$505,A17)</f>
        <v>0</v>
      </c>
      <c r="D17" s="23" t="n">
        <f aca="false">MAX(0,Setup!$B$5-C17)</f>
        <v>20</v>
      </c>
      <c r="E17" s="24" t="str">
        <f aca="true">IF(C17&gt;=Setup!$B$5,"✓ Target met",IF(A17&gt;TODAY(),"Upcoming",IF(B17&gt;=TODAY(),"In progress","Short by "&amp;TEXT(D17,"0.00")&amp;" hrs")))</f>
        <v>Upcoming</v>
      </c>
      <c r="F17" s="23" t="n">
        <f aca="false">SUMIFS(Logbook!$E$6:$E$505,Logbook!$B$6:$B$505,Setup!$B$10,Logbook!$F$6:$F$505,A17)</f>
        <v>0</v>
      </c>
      <c r="G17" s="23" t="n">
        <f aca="false">MAX(0,Setup!$B$5-F17)</f>
        <v>20</v>
      </c>
      <c r="H17" s="24" t="str">
        <f aca="true">IF(F17&gt;=Setup!$B$5,"✓ Target met",IF(A17&gt;TODAY(),"Upcoming",IF(B17&gt;=TODAY(),"In progress","Short by "&amp;TEXT(G17,"0.00")&amp;" hrs")))</f>
        <v>Upcoming</v>
      </c>
    </row>
    <row r="18" customFormat="false" ht="15" hidden="false" customHeight="false" outlineLevel="0" collapsed="false">
      <c r="A18" s="25" t="n">
        <f aca="false">A17+7</f>
        <v>46377</v>
      </c>
      <c r="B18" s="25" t="n">
        <f aca="false">A18+6</f>
        <v>46383</v>
      </c>
      <c r="C18" s="26" t="n">
        <f aca="false">SUMIFS(Logbook!$E$6:$E$505,Logbook!$B$6:$B$505,Setup!$B$9,Logbook!$F$6:$F$505,A18)</f>
        <v>0</v>
      </c>
      <c r="D18" s="26" t="n">
        <f aca="false">MAX(0,Setup!$B$5-C18)</f>
        <v>20</v>
      </c>
      <c r="E18" s="27" t="str">
        <f aca="true">IF(C18&gt;=Setup!$B$5,"✓ Target met",IF(A18&gt;TODAY(),"Upcoming",IF(B18&gt;=TODAY(),"In progress","Short by "&amp;TEXT(D18,"0.00")&amp;" hrs")))</f>
        <v>Upcoming</v>
      </c>
      <c r="F18" s="26" t="n">
        <f aca="false">SUMIFS(Logbook!$E$6:$E$505,Logbook!$B$6:$B$505,Setup!$B$10,Logbook!$F$6:$F$505,A18)</f>
        <v>0</v>
      </c>
      <c r="G18" s="26" t="n">
        <f aca="false">MAX(0,Setup!$B$5-F18)</f>
        <v>20</v>
      </c>
      <c r="H18" s="27" t="str">
        <f aca="true">IF(F18&gt;=Setup!$B$5,"✓ Target met",IF(A18&gt;TODAY(),"Upcoming",IF(B18&gt;=TODAY(),"In progress","Short by "&amp;TEXT(G18,"0.00")&amp;" hrs")))</f>
        <v>Upcoming</v>
      </c>
    </row>
    <row r="19" customFormat="false" ht="15" hidden="false" customHeight="false" outlineLevel="0" collapsed="false">
      <c r="A19" s="22" t="n">
        <f aca="false">A18+7</f>
        <v>46384</v>
      </c>
      <c r="B19" s="22" t="n">
        <f aca="false">A19+6</f>
        <v>46390</v>
      </c>
      <c r="C19" s="23" t="n">
        <f aca="false">SUMIFS(Logbook!$E$6:$E$505,Logbook!$B$6:$B$505,Setup!$B$9,Logbook!$F$6:$F$505,A19)</f>
        <v>0</v>
      </c>
      <c r="D19" s="23" t="n">
        <f aca="false">MAX(0,Setup!$B$5-C19)</f>
        <v>20</v>
      </c>
      <c r="E19" s="24" t="str">
        <f aca="true">IF(C19&gt;=Setup!$B$5,"✓ Target met",IF(A19&gt;TODAY(),"Upcoming",IF(B19&gt;=TODAY(),"In progress","Short by "&amp;TEXT(D19,"0.00")&amp;" hrs")))</f>
        <v>Upcoming</v>
      </c>
      <c r="F19" s="23" t="n">
        <f aca="false">SUMIFS(Logbook!$E$6:$E$505,Logbook!$B$6:$B$505,Setup!$B$10,Logbook!$F$6:$F$505,A19)</f>
        <v>0</v>
      </c>
      <c r="G19" s="23" t="n">
        <f aca="false">MAX(0,Setup!$B$5-F19)</f>
        <v>20</v>
      </c>
      <c r="H19" s="24" t="str">
        <f aca="true">IF(F19&gt;=Setup!$B$5,"✓ Target met",IF(A19&gt;TODAY(),"Upcoming",IF(B19&gt;=TODAY(),"In progress","Short by "&amp;TEXT(G19,"0.00")&amp;" hrs")))</f>
        <v>Upcoming</v>
      </c>
    </row>
    <row r="20" customFormat="false" ht="15" hidden="false" customHeight="false" outlineLevel="0" collapsed="false">
      <c r="A20" s="25" t="n">
        <f aca="false">A19+7</f>
        <v>46391</v>
      </c>
      <c r="B20" s="25" t="n">
        <f aca="false">A20+6</f>
        <v>46397</v>
      </c>
      <c r="C20" s="26" t="n">
        <f aca="false">SUMIFS(Logbook!$E$6:$E$505,Logbook!$B$6:$B$505,Setup!$B$9,Logbook!$F$6:$F$505,A20)</f>
        <v>0</v>
      </c>
      <c r="D20" s="26" t="n">
        <f aca="false">MAX(0,Setup!$B$5-C20)</f>
        <v>20</v>
      </c>
      <c r="E20" s="27" t="str">
        <f aca="true">IF(C20&gt;=Setup!$B$5,"✓ Target met",IF(A20&gt;TODAY(),"Upcoming",IF(B20&gt;=TODAY(),"In progress","Short by "&amp;TEXT(D20,"0.00")&amp;" hrs")))</f>
        <v>Upcoming</v>
      </c>
      <c r="F20" s="26" t="n">
        <f aca="false">SUMIFS(Logbook!$E$6:$E$505,Logbook!$B$6:$B$505,Setup!$B$10,Logbook!$F$6:$F$505,A20)</f>
        <v>0</v>
      </c>
      <c r="G20" s="26" t="n">
        <f aca="false">MAX(0,Setup!$B$5-F20)</f>
        <v>20</v>
      </c>
      <c r="H20" s="27" t="str">
        <f aca="true">IF(F20&gt;=Setup!$B$5,"✓ Target met",IF(A20&gt;TODAY(),"Upcoming",IF(B20&gt;=TODAY(),"In progress","Short by "&amp;TEXT(G20,"0.00")&amp;" hrs")))</f>
        <v>Upcoming</v>
      </c>
    </row>
    <row r="21" customFormat="false" ht="15" hidden="false" customHeight="false" outlineLevel="0" collapsed="false">
      <c r="A21" s="22" t="n">
        <f aca="false">A20+7</f>
        <v>46398</v>
      </c>
      <c r="B21" s="22" t="n">
        <f aca="false">A21+6</f>
        <v>46404</v>
      </c>
      <c r="C21" s="23" t="n">
        <f aca="false">SUMIFS(Logbook!$E$6:$E$505,Logbook!$B$6:$B$505,Setup!$B$9,Logbook!$F$6:$F$505,A21)</f>
        <v>0</v>
      </c>
      <c r="D21" s="23" t="n">
        <f aca="false">MAX(0,Setup!$B$5-C21)</f>
        <v>20</v>
      </c>
      <c r="E21" s="24" t="str">
        <f aca="true">IF(C21&gt;=Setup!$B$5,"✓ Target met",IF(A21&gt;TODAY(),"Upcoming",IF(B21&gt;=TODAY(),"In progress","Short by "&amp;TEXT(D21,"0.00")&amp;" hrs")))</f>
        <v>Upcoming</v>
      </c>
      <c r="F21" s="23" t="n">
        <f aca="false">SUMIFS(Logbook!$E$6:$E$505,Logbook!$B$6:$B$505,Setup!$B$10,Logbook!$F$6:$F$505,A21)</f>
        <v>0</v>
      </c>
      <c r="G21" s="23" t="n">
        <f aca="false">MAX(0,Setup!$B$5-F21)</f>
        <v>20</v>
      </c>
      <c r="H21" s="24" t="str">
        <f aca="true">IF(F21&gt;=Setup!$B$5,"✓ Target met",IF(A21&gt;TODAY(),"Upcoming",IF(B21&gt;=TODAY(),"In progress","Short by "&amp;TEXT(G21,"0.00")&amp;" hrs")))</f>
        <v>Upcoming</v>
      </c>
    </row>
    <row r="22" customFormat="false" ht="15" hidden="false" customHeight="false" outlineLevel="0" collapsed="false">
      <c r="A22" s="25" t="n">
        <f aca="false">A21+7</f>
        <v>46405</v>
      </c>
      <c r="B22" s="25" t="n">
        <f aca="false">A22+6</f>
        <v>46411</v>
      </c>
      <c r="C22" s="26" t="n">
        <f aca="false">SUMIFS(Logbook!$E$6:$E$505,Logbook!$B$6:$B$505,Setup!$B$9,Logbook!$F$6:$F$505,A22)</f>
        <v>0</v>
      </c>
      <c r="D22" s="26" t="n">
        <f aca="false">MAX(0,Setup!$B$5-C22)</f>
        <v>20</v>
      </c>
      <c r="E22" s="27" t="str">
        <f aca="true">IF(C22&gt;=Setup!$B$5,"✓ Target met",IF(A22&gt;TODAY(),"Upcoming",IF(B22&gt;=TODAY(),"In progress","Short by "&amp;TEXT(D22,"0.00")&amp;" hrs")))</f>
        <v>Upcoming</v>
      </c>
      <c r="F22" s="26" t="n">
        <f aca="false">SUMIFS(Logbook!$E$6:$E$505,Logbook!$B$6:$B$505,Setup!$B$10,Logbook!$F$6:$F$505,A22)</f>
        <v>0</v>
      </c>
      <c r="G22" s="26" t="n">
        <f aca="false">MAX(0,Setup!$B$5-F22)</f>
        <v>20</v>
      </c>
      <c r="H22" s="27" t="str">
        <f aca="true">IF(F22&gt;=Setup!$B$5,"✓ Target met",IF(A22&gt;TODAY(),"Upcoming",IF(B22&gt;=TODAY(),"In progress","Short by "&amp;TEXT(G22,"0.00")&amp;" hrs")))</f>
        <v>Upcoming</v>
      </c>
    </row>
    <row r="23" customFormat="false" ht="15" hidden="false" customHeight="false" outlineLevel="0" collapsed="false">
      <c r="A23" s="22" t="n">
        <f aca="false">A22+7</f>
        <v>46412</v>
      </c>
      <c r="B23" s="22" t="n">
        <f aca="false">A23+6</f>
        <v>46418</v>
      </c>
      <c r="C23" s="23" t="n">
        <f aca="false">SUMIFS(Logbook!$E$6:$E$505,Logbook!$B$6:$B$505,Setup!$B$9,Logbook!$F$6:$F$505,A23)</f>
        <v>0</v>
      </c>
      <c r="D23" s="23" t="n">
        <f aca="false">MAX(0,Setup!$B$5-C23)</f>
        <v>20</v>
      </c>
      <c r="E23" s="24" t="str">
        <f aca="true">IF(C23&gt;=Setup!$B$5,"✓ Target met",IF(A23&gt;TODAY(),"Upcoming",IF(B23&gt;=TODAY(),"In progress","Short by "&amp;TEXT(D23,"0.00")&amp;" hrs")))</f>
        <v>Upcoming</v>
      </c>
      <c r="F23" s="23" t="n">
        <f aca="false">SUMIFS(Logbook!$E$6:$E$505,Logbook!$B$6:$B$505,Setup!$B$10,Logbook!$F$6:$F$505,A23)</f>
        <v>0</v>
      </c>
      <c r="G23" s="23" t="n">
        <f aca="false">MAX(0,Setup!$B$5-F23)</f>
        <v>20</v>
      </c>
      <c r="H23" s="24" t="str">
        <f aca="true">IF(F23&gt;=Setup!$B$5,"✓ Target met",IF(A23&gt;TODAY(),"Upcoming",IF(B23&gt;=TODAY(),"In progress","Short by "&amp;TEXT(G23,"0.00")&amp;" hrs")))</f>
        <v>Upcoming</v>
      </c>
    </row>
    <row r="24" customFormat="false" ht="15" hidden="false" customHeight="false" outlineLevel="0" collapsed="false">
      <c r="A24" s="25" t="n">
        <f aca="false">A23+7</f>
        <v>46419</v>
      </c>
      <c r="B24" s="25" t="n">
        <f aca="false">A24+6</f>
        <v>46425</v>
      </c>
      <c r="C24" s="26" t="n">
        <f aca="false">SUMIFS(Logbook!$E$6:$E$505,Logbook!$B$6:$B$505,Setup!$B$9,Logbook!$F$6:$F$505,A24)</f>
        <v>0</v>
      </c>
      <c r="D24" s="26" t="n">
        <f aca="false">MAX(0,Setup!$B$5-C24)</f>
        <v>20</v>
      </c>
      <c r="E24" s="27" t="str">
        <f aca="true">IF(C24&gt;=Setup!$B$5,"✓ Target met",IF(A24&gt;TODAY(),"Upcoming",IF(B24&gt;=TODAY(),"In progress","Short by "&amp;TEXT(D24,"0.00")&amp;" hrs")))</f>
        <v>Upcoming</v>
      </c>
      <c r="F24" s="26" t="n">
        <f aca="false">SUMIFS(Logbook!$E$6:$E$505,Logbook!$B$6:$B$505,Setup!$B$10,Logbook!$F$6:$F$505,A24)</f>
        <v>0</v>
      </c>
      <c r="G24" s="26" t="n">
        <f aca="false">MAX(0,Setup!$B$5-F24)</f>
        <v>20</v>
      </c>
      <c r="H24" s="27" t="str">
        <f aca="true">IF(F24&gt;=Setup!$B$5,"✓ Target met",IF(A24&gt;TODAY(),"Upcoming",IF(B24&gt;=TODAY(),"In progress","Short by "&amp;TEXT(G24,"0.00")&amp;" hrs")))</f>
        <v>Upcoming</v>
      </c>
    </row>
    <row r="25" customFormat="false" ht="15" hidden="false" customHeight="false" outlineLevel="0" collapsed="false">
      <c r="A25" s="22" t="n">
        <f aca="false">A24+7</f>
        <v>46426</v>
      </c>
      <c r="B25" s="22" t="n">
        <f aca="false">A25+6</f>
        <v>46432</v>
      </c>
      <c r="C25" s="23" t="n">
        <f aca="false">SUMIFS(Logbook!$E$6:$E$505,Logbook!$B$6:$B$505,Setup!$B$9,Logbook!$F$6:$F$505,A25)</f>
        <v>0</v>
      </c>
      <c r="D25" s="23" t="n">
        <f aca="false">MAX(0,Setup!$B$5-C25)</f>
        <v>20</v>
      </c>
      <c r="E25" s="24" t="str">
        <f aca="true">IF(C25&gt;=Setup!$B$5,"✓ Target met",IF(A25&gt;TODAY(),"Upcoming",IF(B25&gt;=TODAY(),"In progress","Short by "&amp;TEXT(D25,"0.00")&amp;" hrs")))</f>
        <v>Upcoming</v>
      </c>
      <c r="F25" s="23" t="n">
        <f aca="false">SUMIFS(Logbook!$E$6:$E$505,Logbook!$B$6:$B$505,Setup!$B$10,Logbook!$F$6:$F$505,A25)</f>
        <v>0</v>
      </c>
      <c r="G25" s="23" t="n">
        <f aca="false">MAX(0,Setup!$B$5-F25)</f>
        <v>20</v>
      </c>
      <c r="H25" s="24" t="str">
        <f aca="true">IF(F25&gt;=Setup!$B$5,"✓ Target met",IF(A25&gt;TODAY(),"Upcoming",IF(B25&gt;=TODAY(),"In progress","Short by "&amp;TEXT(G25,"0.00")&amp;" hrs")))</f>
        <v>Upcoming</v>
      </c>
    </row>
    <row r="26" customFormat="false" ht="15" hidden="false" customHeight="false" outlineLevel="0" collapsed="false">
      <c r="A26" s="25" t="n">
        <f aca="false">A25+7</f>
        <v>46433</v>
      </c>
      <c r="B26" s="25" t="n">
        <f aca="false">A26+6</f>
        <v>46439</v>
      </c>
      <c r="C26" s="26" t="n">
        <f aca="false">SUMIFS(Logbook!$E$6:$E$505,Logbook!$B$6:$B$505,Setup!$B$9,Logbook!$F$6:$F$505,A26)</f>
        <v>0</v>
      </c>
      <c r="D26" s="26" t="n">
        <f aca="false">MAX(0,Setup!$B$5-C26)</f>
        <v>20</v>
      </c>
      <c r="E26" s="27" t="str">
        <f aca="true">IF(C26&gt;=Setup!$B$5,"✓ Target met",IF(A26&gt;TODAY(),"Upcoming",IF(B26&gt;=TODAY(),"In progress","Short by "&amp;TEXT(D26,"0.00")&amp;" hrs")))</f>
        <v>Upcoming</v>
      </c>
      <c r="F26" s="26" t="n">
        <f aca="false">SUMIFS(Logbook!$E$6:$E$505,Logbook!$B$6:$B$505,Setup!$B$10,Logbook!$F$6:$F$505,A26)</f>
        <v>0</v>
      </c>
      <c r="G26" s="26" t="n">
        <f aca="false">MAX(0,Setup!$B$5-F26)</f>
        <v>20</v>
      </c>
      <c r="H26" s="27" t="str">
        <f aca="true">IF(F26&gt;=Setup!$B$5,"✓ Target met",IF(A26&gt;TODAY(),"Upcoming",IF(B26&gt;=TODAY(),"In progress","Short by "&amp;TEXT(G26,"0.00")&amp;" hrs")))</f>
        <v>Upcoming</v>
      </c>
    </row>
    <row r="27" customFormat="false" ht="15" hidden="false" customHeight="false" outlineLevel="0" collapsed="false">
      <c r="A27" s="22" t="n">
        <f aca="false">A26+7</f>
        <v>46440</v>
      </c>
      <c r="B27" s="22" t="n">
        <f aca="false">A27+6</f>
        <v>46446</v>
      </c>
      <c r="C27" s="23" t="n">
        <f aca="false">SUMIFS(Logbook!$E$6:$E$505,Logbook!$B$6:$B$505,Setup!$B$9,Logbook!$F$6:$F$505,A27)</f>
        <v>0</v>
      </c>
      <c r="D27" s="23" t="n">
        <f aca="false">MAX(0,Setup!$B$5-C27)</f>
        <v>20</v>
      </c>
      <c r="E27" s="24" t="str">
        <f aca="true">IF(C27&gt;=Setup!$B$5,"✓ Target met",IF(A27&gt;TODAY(),"Upcoming",IF(B27&gt;=TODAY(),"In progress","Short by "&amp;TEXT(D27,"0.00")&amp;" hrs")))</f>
        <v>Upcoming</v>
      </c>
      <c r="F27" s="23" t="n">
        <f aca="false">SUMIFS(Logbook!$E$6:$E$505,Logbook!$B$6:$B$505,Setup!$B$10,Logbook!$F$6:$F$505,A27)</f>
        <v>0</v>
      </c>
      <c r="G27" s="23" t="n">
        <f aca="false">MAX(0,Setup!$B$5-F27)</f>
        <v>20</v>
      </c>
      <c r="H27" s="24" t="str">
        <f aca="true">IF(F27&gt;=Setup!$B$5,"✓ Target met",IF(A27&gt;TODAY(),"Upcoming",IF(B27&gt;=TODAY(),"In progress","Short by "&amp;TEXT(G27,"0.00")&amp;" hrs")))</f>
        <v>Upcoming</v>
      </c>
    </row>
    <row r="28" customFormat="false" ht="15" hidden="false" customHeight="false" outlineLevel="0" collapsed="false">
      <c r="A28" s="25" t="n">
        <f aca="false">A27+7</f>
        <v>46447</v>
      </c>
      <c r="B28" s="25" t="n">
        <f aca="false">A28+6</f>
        <v>46453</v>
      </c>
      <c r="C28" s="26" t="n">
        <f aca="false">SUMIFS(Logbook!$E$6:$E$505,Logbook!$B$6:$B$505,Setup!$B$9,Logbook!$F$6:$F$505,A28)</f>
        <v>0</v>
      </c>
      <c r="D28" s="26" t="n">
        <f aca="false">MAX(0,Setup!$B$5-C28)</f>
        <v>20</v>
      </c>
      <c r="E28" s="27" t="str">
        <f aca="true">IF(C28&gt;=Setup!$B$5,"✓ Target met",IF(A28&gt;TODAY(),"Upcoming",IF(B28&gt;=TODAY(),"In progress","Short by "&amp;TEXT(D28,"0.00")&amp;" hrs")))</f>
        <v>Upcoming</v>
      </c>
      <c r="F28" s="26" t="n">
        <f aca="false">SUMIFS(Logbook!$E$6:$E$505,Logbook!$B$6:$B$505,Setup!$B$10,Logbook!$F$6:$F$505,A28)</f>
        <v>0</v>
      </c>
      <c r="G28" s="26" t="n">
        <f aca="false">MAX(0,Setup!$B$5-F28)</f>
        <v>20</v>
      </c>
      <c r="H28" s="27" t="str">
        <f aca="true">IF(F28&gt;=Setup!$B$5,"✓ Target met",IF(A28&gt;TODAY(),"Upcoming",IF(B28&gt;=TODAY(),"In progress","Short by "&amp;TEXT(G28,"0.00")&amp;" hrs")))</f>
        <v>Upcoming</v>
      </c>
    </row>
    <row r="29" customFormat="false" ht="15" hidden="false" customHeight="false" outlineLevel="0" collapsed="false">
      <c r="A29" s="22" t="n">
        <f aca="false">A28+7</f>
        <v>46454</v>
      </c>
      <c r="B29" s="22" t="n">
        <f aca="false">A29+6</f>
        <v>46460</v>
      </c>
      <c r="C29" s="23" t="n">
        <f aca="false">SUMIFS(Logbook!$E$6:$E$505,Logbook!$B$6:$B$505,Setup!$B$9,Logbook!$F$6:$F$505,A29)</f>
        <v>0</v>
      </c>
      <c r="D29" s="23" t="n">
        <f aca="false">MAX(0,Setup!$B$5-C29)</f>
        <v>20</v>
      </c>
      <c r="E29" s="24" t="str">
        <f aca="true">IF(C29&gt;=Setup!$B$5,"✓ Target met",IF(A29&gt;TODAY(),"Upcoming",IF(B29&gt;=TODAY(),"In progress","Short by "&amp;TEXT(D29,"0.00")&amp;" hrs")))</f>
        <v>Upcoming</v>
      </c>
      <c r="F29" s="23" t="n">
        <f aca="false">SUMIFS(Logbook!$E$6:$E$505,Logbook!$B$6:$B$505,Setup!$B$10,Logbook!$F$6:$F$505,A29)</f>
        <v>0</v>
      </c>
      <c r="G29" s="23" t="n">
        <f aca="false">MAX(0,Setup!$B$5-F29)</f>
        <v>20</v>
      </c>
      <c r="H29" s="24" t="str">
        <f aca="true">IF(F29&gt;=Setup!$B$5,"✓ Target met",IF(A29&gt;TODAY(),"Upcoming",IF(B29&gt;=TODAY(),"In progress","Short by "&amp;TEXT(G29,"0.00")&amp;" hrs")))</f>
        <v>Upcoming</v>
      </c>
    </row>
    <row r="30" customFormat="false" ht="15" hidden="false" customHeight="false" outlineLevel="0" collapsed="false">
      <c r="A30" s="25" t="n">
        <f aca="false">A29+7</f>
        <v>46461</v>
      </c>
      <c r="B30" s="25" t="n">
        <f aca="false">A30+6</f>
        <v>46467</v>
      </c>
      <c r="C30" s="26" t="n">
        <f aca="false">SUMIFS(Logbook!$E$6:$E$505,Logbook!$B$6:$B$505,Setup!$B$9,Logbook!$F$6:$F$505,A30)</f>
        <v>0</v>
      </c>
      <c r="D30" s="26" t="n">
        <f aca="false">MAX(0,Setup!$B$5-C30)</f>
        <v>20</v>
      </c>
      <c r="E30" s="27" t="str">
        <f aca="true">IF(C30&gt;=Setup!$B$5,"✓ Target met",IF(A30&gt;TODAY(),"Upcoming",IF(B30&gt;=TODAY(),"In progress","Short by "&amp;TEXT(D30,"0.00")&amp;" hrs")))</f>
        <v>Upcoming</v>
      </c>
      <c r="F30" s="26" t="n">
        <f aca="false">SUMIFS(Logbook!$E$6:$E$505,Logbook!$B$6:$B$505,Setup!$B$10,Logbook!$F$6:$F$505,A30)</f>
        <v>0</v>
      </c>
      <c r="G30" s="26" t="n">
        <f aca="false">MAX(0,Setup!$B$5-F30)</f>
        <v>20</v>
      </c>
      <c r="H30" s="27" t="str">
        <f aca="true">IF(F30&gt;=Setup!$B$5,"✓ Target met",IF(A30&gt;TODAY(),"Upcoming",IF(B30&gt;=TODAY(),"In progress","Short by "&amp;TEXT(G30,"0.00")&amp;" hrs")))</f>
        <v>Upcoming</v>
      </c>
    </row>
    <row r="31" customFormat="false" ht="15" hidden="false" customHeight="false" outlineLevel="0" collapsed="false">
      <c r="A31" s="28" t="s">
        <v>34</v>
      </c>
      <c r="B31" s="29"/>
      <c r="C31" s="30" t="n">
        <f aca="false">SUM(C5:C30)</f>
        <v>0</v>
      </c>
      <c r="D31" s="29"/>
      <c r="E31" s="31" t="str">
        <f aca="false">"Weeks met: "&amp;COUNTIF(E5:E30,"✓ Target met")</f>
        <v>Weeks met: 0</v>
      </c>
      <c r="F31" s="30" t="n">
        <f aca="false">SUM(F5:F30)</f>
        <v>0</v>
      </c>
      <c r="G31" s="29"/>
      <c r="H31" s="31" t="str">
        <f aca="false">"Weeks met: "&amp;COUNTIF(H5:H30,"✓ Target met")</f>
        <v>Weeks met: 0</v>
      </c>
    </row>
    <row r="33" customFormat="false" ht="15" hidden="false" customHeight="false" outlineLevel="0" collapsed="false">
      <c r="A33" s="14" t="s">
        <v>35</v>
      </c>
    </row>
  </sheetData>
  <conditionalFormatting sqref="E5:E30">
    <cfRule type="expression" priority="2" aboveAverage="0" equalAverage="0" bottom="0" percent="0" rank="0" text="" dxfId="6">
      <formula>LEFT(E5,1)="✓"</formula>
    </cfRule>
    <cfRule type="expression" priority="3" aboveAverage="0" equalAverage="0" bottom="0" percent="0" rank="0" text="" dxfId="8">
      <formula>LEFT(E5,5)="Short"</formula>
    </cfRule>
  </conditionalFormatting>
  <conditionalFormatting sqref="H5:H30">
    <cfRule type="expression" priority="4" aboveAverage="0" equalAverage="0" bottom="0" percent="0" rank="0" text="" dxfId="6">
      <formula>LEFT(H5,1)="✓"</formula>
    </cfRule>
    <cfRule type="expression" priority="5" aboveAverage="0" equalAverage="0" bottom="0" percent="0" rank="0" text="" dxfId="8">
      <formula>LEFT(H5,5)="Short"</formula>
    </cfRule>
  </conditionalFormatting>
  <conditionalFormatting sqref="A5:H30">
    <cfRule type="expression" priority="6" aboveAverage="0" equalAverage="0" bottom="0" percent="0" rank="0" text="" dxfId="9">
      <formula>AND($A5&lt;=TODAY(),$B5&gt;=TODAY())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2026-09-24T01:26:17Z</dcterms:created>
  <dc:creator>openpyxl</dc:creator>
  <dc:description/>
  <dc:language>en-US</dc:language>
  <cp:lastModifiedBy/>
  <dcterms:modified xsi:type="dcterms:W3CDTF">2026-09-24T01:26:17Z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